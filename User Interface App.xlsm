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jwan\OneDrive\Desktop\Projects\"/>
    </mc:Choice>
  </mc:AlternateContent>
  <xr:revisionPtr revIDLastSave="0" documentId="13_ncr:1_{ADFA456F-EA76-41B5-883C-8D31E76C683D}" xr6:coauthVersionLast="47" xr6:coauthVersionMax="47" xr10:uidLastSave="{00000000-0000-0000-0000-000000000000}"/>
  <bookViews>
    <workbookView xWindow="-120" yWindow="-120" windowWidth="20730" windowHeight="11040" firstSheet="4" activeTab="4" xr2:uid="{6028C4C3-E08F-4398-95F1-C678F66DBCF1}"/>
  </bookViews>
  <sheets>
    <sheet name="Data" sheetId="1" state="hidden" r:id="rId1"/>
    <sheet name="Historical_Data" sheetId="36" state="hidden" r:id="rId2"/>
    <sheet name="Data_Sheet" sheetId="37" state="hidden" r:id="rId3"/>
    <sheet name="ERROR_MA" sheetId="2" state="hidden" r:id="rId4"/>
    <sheet name="START" sheetId="3" r:id="rId5"/>
    <sheet name="MA_Chart" sheetId="4" state="hidden" r:id="rId6"/>
    <sheet name="ALL_METHOD" sheetId="6" state="hidden" r:id="rId7"/>
    <sheet name="12MA_vs_ES" sheetId="7" state="hidden" r:id="rId8"/>
    <sheet name="12MA_vs_ES_vs_HT" sheetId="9" state="hidden" r:id="rId9"/>
    <sheet name="12MA_vs_ES_vs_WS" sheetId="10" state="hidden" r:id="rId10"/>
    <sheet name="6MA" sheetId="11" state="hidden" r:id="rId11"/>
    <sheet name="3MA" sheetId="12" state="hidden" r:id="rId12"/>
    <sheet name="12MA_vs_HOLT'S" sheetId="13" state="hidden" r:id="rId13"/>
    <sheet name="12MA_vs_WINTER'S" sheetId="14" state="hidden" r:id="rId14"/>
    <sheet name="ES_vs_HT_vs_WS" sheetId="15" state="hidden" r:id="rId15"/>
    <sheet name="12MA_vs_ES_vs_HT_vs_WS" sheetId="16" state="hidden" r:id="rId16"/>
    <sheet name="3MA_vs_ES_vs_HT_vs_WS" sheetId="17" state="hidden" r:id="rId17"/>
    <sheet name="MA_vs_ES_vs_HT_vs_WS" sheetId="18" state="hidden" r:id="rId18"/>
    <sheet name="6MA_vs_ES_vs_HT_vs_WS" sheetId="19" state="hidden" r:id="rId19"/>
    <sheet name="ES_vs_HOLT'S" sheetId="20" state="hidden" r:id="rId20"/>
    <sheet name="ES_vs_WINTER'S" sheetId="21" state="hidden" r:id="rId21"/>
    <sheet name="12MA" sheetId="22" state="hidden" r:id="rId22"/>
    <sheet name="ES" sheetId="23" state="hidden" r:id="rId23"/>
    <sheet name="HT" sheetId="24" state="hidden" r:id="rId24"/>
    <sheet name="WS" sheetId="25" state="hidden" r:id="rId25"/>
    <sheet name="WS_ERROR" sheetId="26" state="hidden" r:id="rId26"/>
    <sheet name="HT_ERROR" sheetId="27" state="hidden" r:id="rId27"/>
    <sheet name="3MA_ERROR" sheetId="28" state="hidden" r:id="rId28"/>
    <sheet name="12MA_ERROR" sheetId="29" state="hidden" r:id="rId29"/>
    <sheet name="6MA_ERROR" sheetId="30" state="hidden" r:id="rId30"/>
    <sheet name="ES_ERROR" sheetId="31" state="hidden" r:id="rId31"/>
    <sheet name="MSE" sheetId="32" state="hidden" r:id="rId32"/>
    <sheet name="MAPE" sheetId="33" state="hidden" r:id="rId33"/>
    <sheet name="MAD" sheetId="34" state="hidden" r:id="rId34"/>
    <sheet name="ERRORS" sheetId="35" state="hidden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1" i="1" l="1"/>
  <c r="C61" i="2" s="1"/>
  <c r="C60" i="1"/>
  <c r="C60" i="2" s="1"/>
  <c r="C59" i="1"/>
  <c r="C59" i="2" s="1"/>
  <c r="C58" i="1"/>
  <c r="C58" i="2" s="1"/>
  <c r="C57" i="1"/>
  <c r="C57" i="2" s="1"/>
  <c r="C56" i="1"/>
  <c r="C56" i="2" s="1"/>
  <c r="C55" i="1"/>
  <c r="C55" i="2" s="1"/>
  <c r="C54" i="1"/>
  <c r="C54" i="2" s="1"/>
  <c r="C53" i="1"/>
  <c r="C53" i="2" s="1"/>
  <c r="C52" i="1"/>
  <c r="C52" i="2" s="1"/>
  <c r="C51" i="1"/>
  <c r="C51" i="2" s="1"/>
  <c r="C50" i="1"/>
  <c r="C50" i="2" s="1"/>
  <c r="C49" i="1"/>
  <c r="C49" i="2" s="1"/>
  <c r="C48" i="1"/>
  <c r="C48" i="2" s="1"/>
  <c r="C47" i="1"/>
  <c r="C47" i="2" s="1"/>
  <c r="C46" i="1"/>
  <c r="C46" i="2" s="1"/>
  <c r="C45" i="1"/>
  <c r="C45" i="2" s="1"/>
  <c r="C44" i="1"/>
  <c r="C44" i="2" s="1"/>
  <c r="C43" i="1"/>
  <c r="C43" i="2" s="1"/>
  <c r="C42" i="1"/>
  <c r="C42" i="2" s="1"/>
  <c r="C41" i="1"/>
  <c r="C41" i="2" s="1"/>
  <c r="C40" i="1"/>
  <c r="C40" i="2" s="1"/>
  <c r="C39" i="1"/>
  <c r="D39" i="26" s="1"/>
  <c r="C38" i="1"/>
  <c r="C38" i="2" s="1"/>
  <c r="C37" i="1"/>
  <c r="C37" i="2" s="1"/>
  <c r="C36" i="1"/>
  <c r="C36" i="2" s="1"/>
  <c r="C35" i="1"/>
  <c r="C35" i="2" s="1"/>
  <c r="C34" i="1"/>
  <c r="C34" i="2" s="1"/>
  <c r="C33" i="1"/>
  <c r="C33" i="2" s="1"/>
  <c r="C32" i="1"/>
  <c r="C32" i="2" s="1"/>
  <c r="C31" i="1"/>
  <c r="C31" i="2" s="1"/>
  <c r="C30" i="1"/>
  <c r="C30" i="2" s="1"/>
  <c r="C29" i="1"/>
  <c r="C29" i="2" s="1"/>
  <c r="C28" i="1"/>
  <c r="C28" i="2" s="1"/>
  <c r="C27" i="1"/>
  <c r="D27" i="28" s="1"/>
  <c r="C26" i="1"/>
  <c r="D26" i="26" s="1"/>
  <c r="C25" i="1"/>
  <c r="C25" i="2" s="1"/>
  <c r="C24" i="1"/>
  <c r="C24" i="2" s="1"/>
  <c r="C23" i="1"/>
  <c r="C23" i="2" s="1"/>
  <c r="C22" i="1"/>
  <c r="C22" i="2" s="1"/>
  <c r="C21" i="1"/>
  <c r="C21" i="2" s="1"/>
  <c r="C20" i="1"/>
  <c r="C20" i="2" s="1"/>
  <c r="C19" i="1"/>
  <c r="C19" i="2" s="1"/>
  <c r="C18" i="1"/>
  <c r="D18" i="26" s="1"/>
  <c r="C17" i="1"/>
  <c r="C17" i="2" s="1"/>
  <c r="C16" i="1"/>
  <c r="C16" i="2" s="1"/>
  <c r="C15" i="1"/>
  <c r="C15" i="2" s="1"/>
  <c r="C14" i="1"/>
  <c r="C14" i="2" s="1"/>
  <c r="C13" i="1"/>
  <c r="C13" i="2" s="1"/>
  <c r="C12" i="1"/>
  <c r="C12" i="2" s="1"/>
  <c r="C11" i="1"/>
  <c r="C11" i="2" s="1"/>
  <c r="C10" i="1"/>
  <c r="C10" i="2" s="1"/>
  <c r="C9" i="1"/>
  <c r="C9" i="2" s="1"/>
  <c r="C8" i="1"/>
  <c r="C8" i="2" s="1"/>
  <c r="C7" i="1"/>
  <c r="C7" i="2" s="1"/>
  <c r="C6" i="1"/>
  <c r="D6" i="26" s="1"/>
  <c r="C5" i="1"/>
  <c r="C5" i="2" s="1"/>
  <c r="C4" i="1"/>
  <c r="C4" i="2" s="1"/>
  <c r="C3" i="1"/>
  <c r="C3" i="2" s="1"/>
  <c r="C2" i="1"/>
  <c r="D43" i="28"/>
  <c r="D59" i="27"/>
  <c r="D55" i="26"/>
  <c r="D55" i="28"/>
  <c r="D43" i="27"/>
  <c r="D27" i="26"/>
  <c r="D23" i="28"/>
  <c r="N1" i="1"/>
  <c r="D7" i="26" l="1"/>
  <c r="C27" i="2"/>
  <c r="D12" i="28"/>
  <c r="D38" i="27"/>
  <c r="D21" i="26"/>
  <c r="D49" i="27"/>
  <c r="C18" i="2"/>
  <c r="C39" i="2"/>
  <c r="D13" i="26"/>
  <c r="D39" i="28"/>
  <c r="C6" i="2"/>
  <c r="D5" i="29"/>
  <c r="D17" i="27"/>
  <c r="AM9" i="1"/>
  <c r="C2" i="2"/>
  <c r="C26" i="2"/>
  <c r="D20" i="28"/>
  <c r="D61" i="26"/>
  <c r="D3" i="31"/>
  <c r="D3" i="29"/>
  <c r="D3" i="30"/>
  <c r="D3" i="28"/>
  <c r="D3" i="27"/>
  <c r="D11" i="31"/>
  <c r="D11" i="30"/>
  <c r="D11" i="29"/>
  <c r="D11" i="28"/>
  <c r="D25" i="30"/>
  <c r="D25" i="31"/>
  <c r="D25" i="29"/>
  <c r="D25" i="28"/>
  <c r="D25" i="27"/>
  <c r="D25" i="26"/>
  <c r="D37" i="30"/>
  <c r="D37" i="31"/>
  <c r="D37" i="29"/>
  <c r="D37" i="27"/>
  <c r="D37" i="28"/>
  <c r="D45" i="30"/>
  <c r="D45" i="29"/>
  <c r="D45" i="31"/>
  <c r="D45" i="28"/>
  <c r="D45" i="27"/>
  <c r="D53" i="30"/>
  <c r="D53" i="31"/>
  <c r="D53" i="29"/>
  <c r="D53" i="27"/>
  <c r="D53" i="28"/>
  <c r="D53" i="26"/>
  <c r="AM3" i="1"/>
  <c r="AM5" i="1"/>
  <c r="AM7" i="1"/>
  <c r="AM11" i="1"/>
  <c r="AM13" i="1"/>
  <c r="D18" i="31"/>
  <c r="D18" i="30"/>
  <c r="D18" i="29"/>
  <c r="D18" i="28"/>
  <c r="D18" i="27"/>
  <c r="D22" i="31"/>
  <c r="D22" i="30"/>
  <c r="D22" i="29"/>
  <c r="D22" i="28"/>
  <c r="D26" i="31"/>
  <c r="D26" i="30"/>
  <c r="D26" i="29"/>
  <c r="D26" i="28"/>
  <c r="D26" i="27"/>
  <c r="D30" i="31"/>
  <c r="D30" i="30"/>
  <c r="D30" i="29"/>
  <c r="D30" i="28"/>
  <c r="D30" i="27"/>
  <c r="D30" i="26"/>
  <c r="D34" i="31"/>
  <c r="D34" i="30"/>
  <c r="D34" i="29"/>
  <c r="D34" i="28"/>
  <c r="D34" i="27"/>
  <c r="D38" i="31"/>
  <c r="D38" i="30"/>
  <c r="D38" i="29"/>
  <c r="D38" i="28"/>
  <c r="D42" i="31"/>
  <c r="D42" i="30"/>
  <c r="D42" i="29"/>
  <c r="D42" i="28"/>
  <c r="D42" i="27"/>
  <c r="D46" i="31"/>
  <c r="D46" i="30"/>
  <c r="D46" i="29"/>
  <c r="D46" i="28"/>
  <c r="D46" i="27"/>
  <c r="D46" i="26"/>
  <c r="D50" i="31"/>
  <c r="D50" i="30"/>
  <c r="D50" i="29"/>
  <c r="D50" i="28"/>
  <c r="D50" i="27"/>
  <c r="D54" i="31"/>
  <c r="D54" i="30"/>
  <c r="D54" i="29"/>
  <c r="D54" i="28"/>
  <c r="D54" i="26"/>
  <c r="D58" i="31"/>
  <c r="D58" i="30"/>
  <c r="D58" i="29"/>
  <c r="D58" i="28"/>
  <c r="D58" i="27"/>
  <c r="D58" i="26"/>
  <c r="D34" i="26"/>
  <c r="D42" i="26"/>
  <c r="D22" i="27"/>
  <c r="D5" i="28"/>
  <c r="D5" i="31"/>
  <c r="D5" i="30"/>
  <c r="D5" i="27"/>
  <c r="D9" i="31"/>
  <c r="D9" i="30"/>
  <c r="D9" i="29"/>
  <c r="D9" i="28"/>
  <c r="D9" i="27"/>
  <c r="D9" i="26"/>
  <c r="D13" i="30"/>
  <c r="D13" i="31"/>
  <c r="D13" i="29"/>
  <c r="D13" i="27"/>
  <c r="D29" i="30"/>
  <c r="D29" i="31"/>
  <c r="D29" i="28"/>
  <c r="D29" i="29"/>
  <c r="D29" i="27"/>
  <c r="D33" i="30"/>
  <c r="D33" i="31"/>
  <c r="D33" i="29"/>
  <c r="D33" i="28"/>
  <c r="D57" i="30"/>
  <c r="D57" i="31"/>
  <c r="D57" i="29"/>
  <c r="D57" i="28"/>
  <c r="D57" i="27"/>
  <c r="D57" i="26"/>
  <c r="D61" i="31"/>
  <c r="D61" i="30"/>
  <c r="D61" i="29"/>
  <c r="D61" i="28"/>
  <c r="D61" i="27"/>
  <c r="D11" i="26"/>
  <c r="D33" i="26"/>
  <c r="D2" i="31"/>
  <c r="D2" i="30"/>
  <c r="D2" i="29"/>
  <c r="D2" i="28"/>
  <c r="D2" i="27"/>
  <c r="D4" i="31"/>
  <c r="D4" i="30"/>
  <c r="D4" i="29"/>
  <c r="D4" i="28"/>
  <c r="D4" i="27"/>
  <c r="D4" i="26"/>
  <c r="D6" i="31"/>
  <c r="D6" i="30"/>
  <c r="D6" i="29"/>
  <c r="D6" i="28"/>
  <c r="D8" i="31"/>
  <c r="D8" i="30"/>
  <c r="D8" i="27"/>
  <c r="D8" i="26"/>
  <c r="D8" i="28"/>
  <c r="D8" i="29"/>
  <c r="D10" i="31"/>
  <c r="D10" i="30"/>
  <c r="D10" i="29"/>
  <c r="D10" i="28"/>
  <c r="D10" i="27"/>
  <c r="D12" i="31"/>
  <c r="D12" i="30"/>
  <c r="D12" i="29"/>
  <c r="D12" i="27"/>
  <c r="D12" i="26"/>
  <c r="D14" i="31"/>
  <c r="D14" i="30"/>
  <c r="D14" i="29"/>
  <c r="D14" i="27"/>
  <c r="D14" i="28"/>
  <c r="D14" i="26"/>
  <c r="D15" i="31"/>
  <c r="D15" i="30"/>
  <c r="D15" i="29"/>
  <c r="D15" i="27"/>
  <c r="D15" i="28"/>
  <c r="D19" i="31"/>
  <c r="D19" i="30"/>
  <c r="D19" i="29"/>
  <c r="D19" i="28"/>
  <c r="D19" i="27"/>
  <c r="D19" i="26"/>
  <c r="D23" i="30"/>
  <c r="D23" i="31"/>
  <c r="D23" i="29"/>
  <c r="D23" i="27"/>
  <c r="D27" i="30"/>
  <c r="D27" i="31"/>
  <c r="D27" i="29"/>
  <c r="D31" i="30"/>
  <c r="D31" i="31"/>
  <c r="D31" i="29"/>
  <c r="D31" i="27"/>
  <c r="D35" i="30"/>
  <c r="D35" i="31"/>
  <c r="D35" i="29"/>
  <c r="D35" i="27"/>
  <c r="D35" i="26"/>
  <c r="D39" i="30"/>
  <c r="D39" i="31"/>
  <c r="D39" i="29"/>
  <c r="D39" i="27"/>
  <c r="D43" i="30"/>
  <c r="D43" i="31"/>
  <c r="D43" i="29"/>
  <c r="D43" i="26"/>
  <c r="D47" i="30"/>
  <c r="D47" i="31"/>
  <c r="D47" i="29"/>
  <c r="D47" i="27"/>
  <c r="D47" i="26"/>
  <c r="D51" i="30"/>
  <c r="D51" i="31"/>
  <c r="D51" i="29"/>
  <c r="D51" i="27"/>
  <c r="D51" i="26"/>
  <c r="D55" i="30"/>
  <c r="D55" i="31"/>
  <c r="D55" i="29"/>
  <c r="D55" i="27"/>
  <c r="D59" i="30"/>
  <c r="D59" i="31"/>
  <c r="D59" i="29"/>
  <c r="D59" i="28"/>
  <c r="D59" i="26"/>
  <c r="D2" i="26"/>
  <c r="D15" i="26"/>
  <c r="D22" i="26"/>
  <c r="D29" i="26"/>
  <c r="D37" i="26"/>
  <c r="D45" i="26"/>
  <c r="D6" i="27"/>
  <c r="D27" i="27"/>
  <c r="D13" i="28"/>
  <c r="E15" i="28" s="1"/>
  <c r="D35" i="28"/>
  <c r="D51" i="28"/>
  <c r="D7" i="31"/>
  <c r="D7" i="29"/>
  <c r="D7" i="30"/>
  <c r="D7" i="28"/>
  <c r="D7" i="27"/>
  <c r="D17" i="31"/>
  <c r="D17" i="30"/>
  <c r="D17" i="29"/>
  <c r="D17" i="28"/>
  <c r="D21" i="30"/>
  <c r="D21" i="31"/>
  <c r="D21" i="27"/>
  <c r="D21" i="29"/>
  <c r="D41" i="30"/>
  <c r="D41" i="31"/>
  <c r="D41" i="28"/>
  <c r="D41" i="27"/>
  <c r="D41" i="29"/>
  <c r="D41" i="26"/>
  <c r="D49" i="30"/>
  <c r="D49" i="31"/>
  <c r="D49" i="29"/>
  <c r="D49" i="26"/>
  <c r="D49" i="28"/>
  <c r="D5" i="26"/>
  <c r="AM2" i="1"/>
  <c r="AM4" i="1"/>
  <c r="AM6" i="1"/>
  <c r="AM8" i="1"/>
  <c r="AM10" i="1"/>
  <c r="AM12" i="1"/>
  <c r="D16" i="31"/>
  <c r="D16" i="30"/>
  <c r="D16" i="29"/>
  <c r="D16" i="27"/>
  <c r="D16" i="26"/>
  <c r="D16" i="28"/>
  <c r="D20" i="31"/>
  <c r="D20" i="30"/>
  <c r="D20" i="29"/>
  <c r="D20" i="27"/>
  <c r="D20" i="26"/>
  <c r="D24" i="31"/>
  <c r="D24" i="30"/>
  <c r="D24" i="29"/>
  <c r="D24" i="27"/>
  <c r="D24" i="26"/>
  <c r="D24" i="28"/>
  <c r="D28" i="31"/>
  <c r="D28" i="30"/>
  <c r="D28" i="29"/>
  <c r="D28" i="27"/>
  <c r="D28" i="26"/>
  <c r="D28" i="28"/>
  <c r="D32" i="31"/>
  <c r="D32" i="30"/>
  <c r="D32" i="29"/>
  <c r="D32" i="27"/>
  <c r="D32" i="26"/>
  <c r="D32" i="28"/>
  <c r="D36" i="31"/>
  <c r="D36" i="30"/>
  <c r="D36" i="27"/>
  <c r="D36" i="26"/>
  <c r="D36" i="29"/>
  <c r="D36" i="28"/>
  <c r="D40" i="31"/>
  <c r="D40" i="30"/>
  <c r="D40" i="29"/>
  <c r="D40" i="27"/>
  <c r="D40" i="26"/>
  <c r="D40" i="28"/>
  <c r="E42" i="28" s="1"/>
  <c r="D44" i="31"/>
  <c r="D44" i="30"/>
  <c r="D44" i="29"/>
  <c r="D44" i="27"/>
  <c r="D44" i="26"/>
  <c r="D44" i="28"/>
  <c r="D48" i="31"/>
  <c r="D48" i="30"/>
  <c r="D48" i="29"/>
  <c r="D48" i="27"/>
  <c r="D48" i="26"/>
  <c r="D48" i="28"/>
  <c r="D52" i="31"/>
  <c r="D52" i="30"/>
  <c r="D52" i="29"/>
  <c r="D52" i="27"/>
  <c r="D52" i="26"/>
  <c r="D52" i="28"/>
  <c r="D56" i="31"/>
  <c r="D56" i="30"/>
  <c r="D56" i="29"/>
  <c r="D56" i="27"/>
  <c r="D56" i="26"/>
  <c r="D56" i="28"/>
  <c r="D60" i="31"/>
  <c r="D60" i="30"/>
  <c r="D60" i="29"/>
  <c r="D60" i="28"/>
  <c r="D60" i="27"/>
  <c r="D60" i="26"/>
  <c r="D3" i="26"/>
  <c r="D10" i="26"/>
  <c r="D17" i="26"/>
  <c r="D23" i="26"/>
  <c r="D31" i="26"/>
  <c r="D38" i="26"/>
  <c r="D50" i="26"/>
  <c r="D11" i="27"/>
  <c r="D33" i="27"/>
  <c r="D54" i="27"/>
  <c r="D21" i="28"/>
  <c r="D31" i="28"/>
  <c r="D47" i="28"/>
  <c r="E46" i="28" l="1"/>
  <c r="E30" i="28"/>
  <c r="E5" i="28"/>
  <c r="F5" i="28" s="1"/>
  <c r="E10" i="30"/>
  <c r="F10" i="30" s="1"/>
  <c r="G10" i="30" s="1"/>
  <c r="E14" i="29"/>
  <c r="E15" i="29"/>
  <c r="E23" i="28"/>
  <c r="F23" i="28" s="1"/>
  <c r="G23" i="28" s="1"/>
  <c r="I23" i="28" s="1"/>
  <c r="E51" i="28"/>
  <c r="F51" i="28" s="1"/>
  <c r="E55" i="30"/>
  <c r="E29" i="29"/>
  <c r="F29" i="29" s="1"/>
  <c r="G29" i="29" s="1"/>
  <c r="E10" i="28"/>
  <c r="E55" i="29"/>
  <c r="E39" i="29"/>
  <c r="F39" i="29" s="1"/>
  <c r="G39" i="29" s="1"/>
  <c r="E16" i="30"/>
  <c r="F16" i="30" s="1"/>
  <c r="G16" i="30" s="1"/>
  <c r="E41" i="29"/>
  <c r="F41" i="29" s="1"/>
  <c r="G41" i="29" s="1"/>
  <c r="E15" i="30"/>
  <c r="F15" i="30" s="1"/>
  <c r="G15" i="30" s="1"/>
  <c r="E61" i="28"/>
  <c r="F61" i="28" s="1"/>
  <c r="E45" i="28"/>
  <c r="F42" i="28"/>
  <c r="E41" i="28"/>
  <c r="F41" i="28" s="1"/>
  <c r="E33" i="28"/>
  <c r="F30" i="28"/>
  <c r="E34" i="28"/>
  <c r="F34" i="28" s="1"/>
  <c r="E55" i="28"/>
  <c r="F55" i="28" s="1"/>
  <c r="E58" i="30"/>
  <c r="F58" i="30" s="1"/>
  <c r="G58" i="30" s="1"/>
  <c r="E52" i="29"/>
  <c r="F52" i="29" s="1"/>
  <c r="G52" i="29" s="1"/>
  <c r="E39" i="28"/>
  <c r="F39" i="28" s="1"/>
  <c r="E42" i="30"/>
  <c r="F42" i="30" s="1"/>
  <c r="G42" i="30" s="1"/>
  <c r="E36" i="29"/>
  <c r="E23" i="30"/>
  <c r="F23" i="30" s="1"/>
  <c r="G23" i="30" s="1"/>
  <c r="E13" i="30"/>
  <c r="F13" i="30" s="1"/>
  <c r="G13" i="30" s="1"/>
  <c r="E38" i="28"/>
  <c r="F38" i="28" s="1"/>
  <c r="F55" i="30"/>
  <c r="G55" i="30" s="1"/>
  <c r="E61" i="30"/>
  <c r="E53" i="30"/>
  <c r="E51" i="29"/>
  <c r="F51" i="29" s="1"/>
  <c r="G51" i="29" s="1"/>
  <c r="E41" i="30"/>
  <c r="F41" i="30" s="1"/>
  <c r="G41" i="30" s="1"/>
  <c r="E35" i="29"/>
  <c r="E31" i="29"/>
  <c r="F31" i="29" s="1"/>
  <c r="G31" i="29" s="1"/>
  <c r="E18" i="28"/>
  <c r="F18" i="28" s="1"/>
  <c r="F15" i="28"/>
  <c r="E26" i="29"/>
  <c r="F14" i="29"/>
  <c r="G14" i="29" s="1"/>
  <c r="E18" i="29"/>
  <c r="F18" i="29" s="1"/>
  <c r="G18" i="29" s="1"/>
  <c r="E8" i="30"/>
  <c r="E32" i="28"/>
  <c r="F32" i="28" s="1"/>
  <c r="E25" i="29"/>
  <c r="F25" i="29" s="1"/>
  <c r="G25" i="29" s="1"/>
  <c r="E8" i="28"/>
  <c r="F8" i="28" s="1"/>
  <c r="E57" i="28"/>
  <c r="F57" i="28" s="1"/>
  <c r="E56" i="30"/>
  <c r="F56" i="30" s="1"/>
  <c r="G56" i="30" s="1"/>
  <c r="E54" i="29"/>
  <c r="F54" i="29" s="1"/>
  <c r="G54" i="29" s="1"/>
  <c r="E50" i="29"/>
  <c r="F50" i="29" s="1"/>
  <c r="G50" i="29" s="1"/>
  <c r="E42" i="29"/>
  <c r="F42" i="29" s="1"/>
  <c r="G42" i="29" s="1"/>
  <c r="E29" i="28"/>
  <c r="F29" i="28" s="1"/>
  <c r="E30" i="29"/>
  <c r="F30" i="29" s="1"/>
  <c r="G30" i="29" s="1"/>
  <c r="E51" i="30"/>
  <c r="F51" i="30" s="1"/>
  <c r="G51" i="30" s="1"/>
  <c r="E28" i="28"/>
  <c r="E14" i="28"/>
  <c r="F14" i="28" s="1"/>
  <c r="E38" i="30"/>
  <c r="F38" i="30" s="1"/>
  <c r="G38" i="30" s="1"/>
  <c r="E52" i="28"/>
  <c r="F52" i="28" s="1"/>
  <c r="E54" i="28"/>
  <c r="F54" i="28" s="1"/>
  <c r="E21" i="30"/>
  <c r="F21" i="30" s="1"/>
  <c r="G21" i="30" s="1"/>
  <c r="E9" i="28"/>
  <c r="F9" i="28" s="1"/>
  <c r="E40" i="30"/>
  <c r="E28" i="30"/>
  <c r="E56" i="28"/>
  <c r="F56" i="28" s="1"/>
  <c r="E31" i="30"/>
  <c r="F31" i="30" s="1"/>
  <c r="G31" i="30" s="1"/>
  <c r="E24" i="28"/>
  <c r="F24" i="28" s="1"/>
  <c r="E59" i="28"/>
  <c r="F59" i="28" s="1"/>
  <c r="E56" i="29"/>
  <c r="F56" i="29" s="1"/>
  <c r="G56" i="29" s="1"/>
  <c r="E43" i="28"/>
  <c r="F43" i="28" s="1"/>
  <c r="F40" i="30"/>
  <c r="G40" i="30" s="1"/>
  <c r="E46" i="30"/>
  <c r="F46" i="30" s="1"/>
  <c r="G46" i="30" s="1"/>
  <c r="F36" i="29"/>
  <c r="G36" i="29" s="1"/>
  <c r="E48" i="29"/>
  <c r="F48" i="29" s="1"/>
  <c r="G48" i="29" s="1"/>
  <c r="E40" i="29"/>
  <c r="F40" i="29" s="1"/>
  <c r="G40" i="29" s="1"/>
  <c r="E27" i="28"/>
  <c r="F27" i="28" s="1"/>
  <c r="E30" i="30"/>
  <c r="F30" i="30" s="1"/>
  <c r="G30" i="30" s="1"/>
  <c r="E28" i="29"/>
  <c r="F28" i="29" s="1"/>
  <c r="G28" i="29" s="1"/>
  <c r="AK14" i="1"/>
  <c r="AL14" i="1"/>
  <c r="E61" i="29"/>
  <c r="F61" i="29" s="1"/>
  <c r="G61" i="29" s="1"/>
  <c r="E53" i="29"/>
  <c r="F53" i="29" s="1"/>
  <c r="G53" i="29" s="1"/>
  <c r="E47" i="30"/>
  <c r="F47" i="30" s="1"/>
  <c r="G47" i="30" s="1"/>
  <c r="E27" i="30"/>
  <c r="F27" i="30" s="1"/>
  <c r="G27" i="30" s="1"/>
  <c r="E19" i="29"/>
  <c r="F19" i="29" s="1"/>
  <c r="G19" i="29" s="1"/>
  <c r="E16" i="28"/>
  <c r="F16" i="28" s="1"/>
  <c r="E49" i="30"/>
  <c r="F49" i="30" s="1"/>
  <c r="G49" i="30" s="1"/>
  <c r="E37" i="30"/>
  <c r="F37" i="30" s="1"/>
  <c r="G37" i="30" s="1"/>
  <c r="E33" i="30"/>
  <c r="F33" i="30" s="1"/>
  <c r="G33" i="30" s="1"/>
  <c r="E25" i="30"/>
  <c r="F25" i="30" s="1"/>
  <c r="G25" i="30" s="1"/>
  <c r="E20" i="30"/>
  <c r="E24" i="29"/>
  <c r="F24" i="29" s="1"/>
  <c r="G24" i="29" s="1"/>
  <c r="E13" i="28"/>
  <c r="F13" i="28" s="1"/>
  <c r="F10" i="28"/>
  <c r="E20" i="29"/>
  <c r="F20" i="29" s="1"/>
  <c r="G20" i="29" s="1"/>
  <c r="F8" i="30"/>
  <c r="G8" i="30" s="1"/>
  <c r="E14" i="30"/>
  <c r="F14" i="30" s="1"/>
  <c r="G14" i="30" s="1"/>
  <c r="E12" i="30"/>
  <c r="F12" i="30" s="1"/>
  <c r="G12" i="30" s="1"/>
  <c r="E7" i="28"/>
  <c r="F7" i="28" s="1"/>
  <c r="E39" i="30"/>
  <c r="F39" i="30" s="1"/>
  <c r="G39" i="30" s="1"/>
  <c r="E12" i="28"/>
  <c r="F12" i="28" s="1"/>
  <c r="E49" i="28"/>
  <c r="F49" i="28" s="1"/>
  <c r="F46" i="28"/>
  <c r="E48" i="30"/>
  <c r="F48" i="30" s="1"/>
  <c r="G48" i="30" s="1"/>
  <c r="E44" i="30"/>
  <c r="F44" i="30" s="1"/>
  <c r="G44" i="30" s="1"/>
  <c r="E37" i="28"/>
  <c r="F37" i="28" s="1"/>
  <c r="E36" i="30"/>
  <c r="F36" i="30" s="1"/>
  <c r="G36" i="30" s="1"/>
  <c r="E38" i="29"/>
  <c r="F38" i="29" s="1"/>
  <c r="G38" i="29" s="1"/>
  <c r="F26" i="29"/>
  <c r="G26" i="29" s="1"/>
  <c r="E25" i="28"/>
  <c r="F25" i="28" s="1"/>
  <c r="E24" i="30"/>
  <c r="F24" i="30" s="1"/>
  <c r="G24" i="30" s="1"/>
  <c r="E48" i="28"/>
  <c r="F48" i="28" s="1"/>
  <c r="F45" i="28"/>
  <c r="E40" i="28"/>
  <c r="F40" i="28" s="1"/>
  <c r="E43" i="30"/>
  <c r="F43" i="30" s="1"/>
  <c r="G43" i="30" s="1"/>
  <c r="E37" i="29"/>
  <c r="F37" i="29" s="1"/>
  <c r="G37" i="29" s="1"/>
  <c r="E23" i="29"/>
  <c r="F23" i="29" s="1"/>
  <c r="G23" i="29" s="1"/>
  <c r="E6" i="28"/>
  <c r="F6" i="28" s="1"/>
  <c r="E58" i="28"/>
  <c r="F58" i="28" s="1"/>
  <c r="E50" i="28"/>
  <c r="F50" i="28" s="1"/>
  <c r="E54" i="30"/>
  <c r="F54" i="30" s="1"/>
  <c r="G54" i="30" s="1"/>
  <c r="E35" i="28"/>
  <c r="F35" i="28" s="1"/>
  <c r="F20" i="30"/>
  <c r="G20" i="30" s="1"/>
  <c r="E26" i="30"/>
  <c r="F26" i="30" s="1"/>
  <c r="G26" i="30" s="1"/>
  <c r="E44" i="28"/>
  <c r="F44" i="28" s="1"/>
  <c r="E43" i="29"/>
  <c r="F43" i="29" s="1"/>
  <c r="G43" i="29" s="1"/>
  <c r="E22" i="28"/>
  <c r="F22" i="28" s="1"/>
  <c r="E45" i="29"/>
  <c r="F45" i="29" s="1"/>
  <c r="G45" i="29" s="1"/>
  <c r="E52" i="30"/>
  <c r="F52" i="30" s="1"/>
  <c r="G52" i="30" s="1"/>
  <c r="E21" i="28"/>
  <c r="F21" i="28" s="1"/>
  <c r="F53" i="30"/>
  <c r="G53" i="30" s="1"/>
  <c r="E59" i="30"/>
  <c r="F59" i="30" s="1"/>
  <c r="G59" i="30" s="1"/>
  <c r="E57" i="29"/>
  <c r="F57" i="29" s="1"/>
  <c r="G57" i="29" s="1"/>
  <c r="E49" i="29"/>
  <c r="F49" i="29" s="1"/>
  <c r="G49" i="29" s="1"/>
  <c r="E60" i="29"/>
  <c r="F60" i="29" s="1"/>
  <c r="G60" i="29" s="1"/>
  <c r="E47" i="28"/>
  <c r="F47" i="28" s="1"/>
  <c r="E50" i="30"/>
  <c r="F50" i="30" s="1"/>
  <c r="G50" i="30" s="1"/>
  <c r="E44" i="29"/>
  <c r="F44" i="29" s="1"/>
  <c r="G44" i="29" s="1"/>
  <c r="E31" i="28"/>
  <c r="F31" i="28" s="1"/>
  <c r="F28" i="28"/>
  <c r="F28" i="30"/>
  <c r="G28" i="30" s="1"/>
  <c r="E34" i="30"/>
  <c r="F34" i="30" s="1"/>
  <c r="G34" i="30" s="1"/>
  <c r="E32" i="29"/>
  <c r="F32" i="29" s="1"/>
  <c r="G32" i="29" s="1"/>
  <c r="E19" i="28"/>
  <c r="F19" i="28" s="1"/>
  <c r="E22" i="30"/>
  <c r="F22" i="30" s="1"/>
  <c r="G22" i="30" s="1"/>
  <c r="E33" i="29"/>
  <c r="F33" i="29" s="1"/>
  <c r="G33" i="29" s="1"/>
  <c r="E20" i="28"/>
  <c r="F20" i="28" s="1"/>
  <c r="F55" i="29"/>
  <c r="G55" i="29" s="1"/>
  <c r="E57" i="30"/>
  <c r="F57" i="30" s="1"/>
  <c r="G57" i="30" s="1"/>
  <c r="E59" i="29"/>
  <c r="F59" i="29" s="1"/>
  <c r="G59" i="29" s="1"/>
  <c r="E45" i="30"/>
  <c r="F45" i="30" s="1"/>
  <c r="G45" i="30" s="1"/>
  <c r="E47" i="29"/>
  <c r="F47" i="29" s="1"/>
  <c r="G47" i="29" s="1"/>
  <c r="F35" i="29"/>
  <c r="G35" i="29" s="1"/>
  <c r="E29" i="30"/>
  <c r="F29" i="30" s="1"/>
  <c r="G29" i="30" s="1"/>
  <c r="F15" i="29"/>
  <c r="G15" i="29" s="1"/>
  <c r="E27" i="29"/>
  <c r="F27" i="29" s="1"/>
  <c r="G27" i="29" s="1"/>
  <c r="E17" i="28"/>
  <c r="F17" i="28" s="1"/>
  <c r="E18" i="30"/>
  <c r="F18" i="30" s="1"/>
  <c r="G18" i="30" s="1"/>
  <c r="E22" i="29"/>
  <c r="F22" i="29" s="1"/>
  <c r="G22" i="29" s="1"/>
  <c r="E11" i="28"/>
  <c r="F11" i="28" s="1"/>
  <c r="E16" i="29"/>
  <c r="F16" i="29" s="1"/>
  <c r="G16" i="29" s="1"/>
  <c r="F61" i="30"/>
  <c r="G61" i="30" s="1"/>
  <c r="E60" i="28"/>
  <c r="F60" i="28" s="1"/>
  <c r="E36" i="28"/>
  <c r="F36" i="28" s="1"/>
  <c r="F33" i="28"/>
  <c r="E35" i="30"/>
  <c r="F35" i="30" s="1"/>
  <c r="G35" i="30" s="1"/>
  <c r="E19" i="30"/>
  <c r="F19" i="30" s="1"/>
  <c r="G19" i="30" s="1"/>
  <c r="E21" i="29"/>
  <c r="F21" i="29" s="1"/>
  <c r="G21" i="29" s="1"/>
  <c r="E11" i="30"/>
  <c r="F11" i="30" s="1"/>
  <c r="G11" i="30" s="1"/>
  <c r="E60" i="30"/>
  <c r="F60" i="30" s="1"/>
  <c r="G60" i="30" s="1"/>
  <c r="E53" i="28"/>
  <c r="F53" i="28" s="1"/>
  <c r="E58" i="29"/>
  <c r="F58" i="29" s="1"/>
  <c r="G58" i="29" s="1"/>
  <c r="E46" i="29"/>
  <c r="F46" i="29" s="1"/>
  <c r="G46" i="29" s="1"/>
  <c r="E32" i="30"/>
  <c r="F32" i="30" s="1"/>
  <c r="G32" i="30" s="1"/>
  <c r="E34" i="29"/>
  <c r="F34" i="29" s="1"/>
  <c r="G34" i="29" s="1"/>
  <c r="E17" i="30"/>
  <c r="F17" i="30" s="1"/>
  <c r="G17" i="30" s="1"/>
  <c r="E9" i="30"/>
  <c r="F9" i="30" s="1"/>
  <c r="G9" i="30" s="1"/>
  <c r="E26" i="28"/>
  <c r="F26" i="28" s="1"/>
  <c r="E17" i="29"/>
  <c r="F17" i="29" s="1"/>
  <c r="G17" i="29" s="1"/>
  <c r="H23" i="28" l="1"/>
  <c r="H19" i="30"/>
  <c r="I19" i="30"/>
  <c r="I27" i="29"/>
  <c r="H27" i="29"/>
  <c r="G47" i="28"/>
  <c r="I47" i="28" s="1"/>
  <c r="H47" i="28"/>
  <c r="I24" i="29"/>
  <c r="H24" i="29"/>
  <c r="G59" i="28"/>
  <c r="I59" i="28" s="1"/>
  <c r="H59" i="28"/>
  <c r="H35" i="30"/>
  <c r="I35" i="30"/>
  <c r="I47" i="29"/>
  <c r="H47" i="29"/>
  <c r="H57" i="30"/>
  <c r="I57" i="30"/>
  <c r="H33" i="29"/>
  <c r="I33" i="29"/>
  <c r="H60" i="29"/>
  <c r="I60" i="29"/>
  <c r="G21" i="28"/>
  <c r="I21" i="28" s="1"/>
  <c r="H21" i="28"/>
  <c r="I43" i="29"/>
  <c r="H43" i="29"/>
  <c r="I38" i="29"/>
  <c r="H38" i="29"/>
  <c r="I44" i="30"/>
  <c r="H44" i="30"/>
  <c r="H24" i="28"/>
  <c r="G24" i="28"/>
  <c r="I24" i="28" s="1"/>
  <c r="H54" i="28"/>
  <c r="G54" i="28"/>
  <c r="I54" i="28" s="1"/>
  <c r="H42" i="29"/>
  <c r="I42" i="29"/>
  <c r="H32" i="28"/>
  <c r="G32" i="28"/>
  <c r="I32" i="28" s="1"/>
  <c r="H13" i="30"/>
  <c r="I13" i="30"/>
  <c r="G41" i="28"/>
  <c r="I41" i="28" s="1"/>
  <c r="H41" i="28"/>
  <c r="H46" i="29"/>
  <c r="I46" i="29"/>
  <c r="H36" i="28"/>
  <c r="G36" i="28"/>
  <c r="I36" i="28" s="1"/>
  <c r="H18" i="30"/>
  <c r="I18" i="30"/>
  <c r="I59" i="29"/>
  <c r="H59" i="29"/>
  <c r="H44" i="29"/>
  <c r="I44" i="29"/>
  <c r="I49" i="29"/>
  <c r="H49" i="29"/>
  <c r="H48" i="28"/>
  <c r="G48" i="28"/>
  <c r="I48" i="28" s="1"/>
  <c r="I19" i="29"/>
  <c r="H19" i="29"/>
  <c r="I53" i="29"/>
  <c r="H53" i="29"/>
  <c r="I40" i="29"/>
  <c r="H40" i="29"/>
  <c r="I56" i="30"/>
  <c r="H56" i="30"/>
  <c r="H38" i="28"/>
  <c r="G38" i="28"/>
  <c r="I38" i="28" s="1"/>
  <c r="G61" i="28"/>
  <c r="I61" i="28" s="1"/>
  <c r="H61" i="28"/>
  <c r="I34" i="29"/>
  <c r="H34" i="29"/>
  <c r="G11" i="28"/>
  <c r="I11" i="28" s="1"/>
  <c r="H11" i="28"/>
  <c r="H32" i="30"/>
  <c r="I32" i="30"/>
  <c r="H60" i="28"/>
  <c r="G60" i="28"/>
  <c r="I60" i="28" s="1"/>
  <c r="H45" i="30"/>
  <c r="I45" i="30"/>
  <c r="I50" i="30"/>
  <c r="H50" i="30"/>
  <c r="I52" i="30"/>
  <c r="H52" i="30"/>
  <c r="G35" i="28"/>
  <c r="I35" i="28" s="1"/>
  <c r="H35" i="28"/>
  <c r="H58" i="28"/>
  <c r="G58" i="28"/>
  <c r="I58" i="28" s="1"/>
  <c r="I37" i="29"/>
  <c r="H37" i="29"/>
  <c r="H40" i="28"/>
  <c r="G40" i="28"/>
  <c r="I40" i="28" s="1"/>
  <c r="G49" i="28"/>
  <c r="I49" i="28" s="1"/>
  <c r="H49" i="28"/>
  <c r="H56" i="29"/>
  <c r="I56" i="29"/>
  <c r="H52" i="28"/>
  <c r="G52" i="28"/>
  <c r="I52" i="28" s="1"/>
  <c r="H51" i="30"/>
  <c r="I51" i="30"/>
  <c r="H50" i="29"/>
  <c r="I50" i="29"/>
  <c r="H41" i="30"/>
  <c r="I41" i="30"/>
  <c r="H34" i="28"/>
  <c r="G34" i="28"/>
  <c r="I34" i="28" s="1"/>
  <c r="I39" i="29"/>
  <c r="H39" i="29"/>
  <c r="H26" i="28"/>
  <c r="G26" i="28"/>
  <c r="I26" i="28" s="1"/>
  <c r="I16" i="29"/>
  <c r="H16" i="29"/>
  <c r="H34" i="30"/>
  <c r="I34" i="30"/>
  <c r="I23" i="29"/>
  <c r="H23" i="29"/>
  <c r="I28" i="29"/>
  <c r="H28" i="29"/>
  <c r="G29" i="28"/>
  <c r="I29" i="28" s="1"/>
  <c r="H29" i="28"/>
  <c r="H9" i="30"/>
  <c r="I9" i="30"/>
  <c r="H58" i="29"/>
  <c r="I58" i="29"/>
  <c r="H17" i="29"/>
  <c r="I17" i="29"/>
  <c r="H17" i="30"/>
  <c r="I17" i="30"/>
  <c r="G53" i="28"/>
  <c r="I53" i="28" s="1"/>
  <c r="H53" i="28"/>
  <c r="H21" i="29"/>
  <c r="I21" i="29"/>
  <c r="G31" i="28"/>
  <c r="I31" i="28" s="1"/>
  <c r="H31" i="28"/>
  <c r="G25" i="28"/>
  <c r="I25" i="28" s="1"/>
  <c r="H25" i="28"/>
  <c r="H47" i="30"/>
  <c r="I47" i="30"/>
  <c r="I30" i="29"/>
  <c r="H30" i="29"/>
  <c r="H54" i="29"/>
  <c r="I54" i="29"/>
  <c r="I18" i="29"/>
  <c r="H18" i="29"/>
  <c r="H18" i="28"/>
  <c r="G18" i="28"/>
  <c r="I18" i="28" s="1"/>
  <c r="H52" i="29"/>
  <c r="I52" i="29"/>
  <c r="I41" i="29"/>
  <c r="H41" i="29"/>
  <c r="H8" i="28"/>
  <c r="G8" i="28"/>
  <c r="I8" i="28" s="1"/>
  <c r="I22" i="29"/>
  <c r="H22" i="29"/>
  <c r="H50" i="28"/>
  <c r="G50" i="28"/>
  <c r="I50" i="28" s="1"/>
  <c r="H57" i="28"/>
  <c r="G57" i="28"/>
  <c r="I57" i="28" s="1"/>
  <c r="I12" i="30"/>
  <c r="H12" i="30"/>
  <c r="I15" i="29"/>
  <c r="H15" i="29"/>
  <c r="G17" i="28"/>
  <c r="I17" i="28" s="1"/>
  <c r="H17" i="28"/>
  <c r="H16" i="28"/>
  <c r="G16" i="28"/>
  <c r="I16" i="28" s="1"/>
  <c r="H28" i="30"/>
  <c r="I28" i="30"/>
  <c r="I32" i="29"/>
  <c r="H32" i="29"/>
  <c r="I57" i="29"/>
  <c r="H57" i="29"/>
  <c r="H25" i="29"/>
  <c r="I25" i="29"/>
  <c r="G37" i="28"/>
  <c r="I37" i="28" s="1"/>
  <c r="H37" i="28"/>
  <c r="H22" i="28"/>
  <c r="G22" i="28"/>
  <c r="I22" i="28" s="1"/>
  <c r="H46" i="28"/>
  <c r="G46" i="28"/>
  <c r="I46" i="28" s="1"/>
  <c r="G9" i="28"/>
  <c r="I9" i="28" s="1"/>
  <c r="H9" i="28"/>
  <c r="I15" i="30"/>
  <c r="H15" i="30"/>
  <c r="H29" i="29"/>
  <c r="I29" i="29"/>
  <c r="G7" i="28"/>
  <c r="I7" i="28" s="1"/>
  <c r="H7" i="28"/>
  <c r="H29" i="30"/>
  <c r="I29" i="30"/>
  <c r="G14" i="28"/>
  <c r="I14" i="28" s="1"/>
  <c r="H14" i="28"/>
  <c r="H16" i="30"/>
  <c r="I16" i="30"/>
  <c r="I20" i="29"/>
  <c r="H20" i="29"/>
  <c r="H28" i="28"/>
  <c r="G28" i="28"/>
  <c r="I28" i="28" s="1"/>
  <c r="H53" i="30"/>
  <c r="I53" i="30"/>
  <c r="I46" i="30"/>
  <c r="H46" i="30"/>
  <c r="G19" i="28"/>
  <c r="I19" i="28" s="1"/>
  <c r="H19" i="28"/>
  <c r="H59" i="30"/>
  <c r="I59" i="30"/>
  <c r="H20" i="30"/>
  <c r="I20" i="30"/>
  <c r="I48" i="30"/>
  <c r="H48" i="30"/>
  <c r="H30" i="30"/>
  <c r="I30" i="30"/>
  <c r="H38" i="30"/>
  <c r="I38" i="30"/>
  <c r="H12" i="28"/>
  <c r="G12" i="28"/>
  <c r="I12" i="28" s="1"/>
  <c r="I61" i="29"/>
  <c r="H61" i="29"/>
  <c r="I8" i="30"/>
  <c r="H8" i="30"/>
  <c r="H31" i="30"/>
  <c r="I31" i="30"/>
  <c r="G13" i="28"/>
  <c r="I13" i="28" s="1"/>
  <c r="H13" i="28"/>
  <c r="H21" i="30"/>
  <c r="I21" i="30"/>
  <c r="AN15" i="1"/>
  <c r="AM14" i="1"/>
  <c r="H24" i="30"/>
  <c r="I24" i="30"/>
  <c r="H40" i="30"/>
  <c r="I40" i="30"/>
  <c r="H25" i="30"/>
  <c r="I25" i="30"/>
  <c r="H22" i="30"/>
  <c r="I22" i="30"/>
  <c r="G6" i="28"/>
  <c r="I6" i="28" s="1"/>
  <c r="H6" i="28"/>
  <c r="G51" i="28"/>
  <c r="I51" i="28" s="1"/>
  <c r="H51" i="28"/>
  <c r="AK15" i="1"/>
  <c r="G5" i="28"/>
  <c r="I5" i="28" s="1"/>
  <c r="H5" i="28"/>
  <c r="I14" i="29"/>
  <c r="H14" i="29"/>
  <c r="H55" i="30"/>
  <c r="I55" i="30"/>
  <c r="H36" i="30"/>
  <c r="I36" i="30"/>
  <c r="G55" i="28"/>
  <c r="I55" i="28" s="1"/>
  <c r="H55" i="28"/>
  <c r="H49" i="30"/>
  <c r="I49" i="30"/>
  <c r="G33" i="28"/>
  <c r="I33" i="28" s="1"/>
  <c r="H33" i="28"/>
  <c r="H61" i="30"/>
  <c r="I61" i="30"/>
  <c r="H23" i="30"/>
  <c r="I23" i="30"/>
  <c r="H39" i="30"/>
  <c r="I39" i="30"/>
  <c r="H48" i="29"/>
  <c r="I48" i="29"/>
  <c r="G45" i="28"/>
  <c r="I45" i="28" s="1"/>
  <c r="H45" i="28"/>
  <c r="I26" i="29"/>
  <c r="H26" i="29"/>
  <c r="H30" i="28"/>
  <c r="G30" i="28"/>
  <c r="I30" i="28" s="1"/>
  <c r="H42" i="28"/>
  <c r="G42" i="28"/>
  <c r="I42" i="28" s="1"/>
  <c r="H11" i="30"/>
  <c r="I11" i="30"/>
  <c r="H20" i="28"/>
  <c r="G20" i="28"/>
  <c r="I20" i="28" s="1"/>
  <c r="H26" i="30"/>
  <c r="I26" i="30"/>
  <c r="I54" i="30"/>
  <c r="H54" i="30"/>
  <c r="I35" i="29"/>
  <c r="H35" i="29"/>
  <c r="I55" i="29"/>
  <c r="H55" i="29"/>
  <c r="H44" i="28"/>
  <c r="G44" i="28"/>
  <c r="I44" i="28" s="1"/>
  <c r="I60" i="30"/>
  <c r="H60" i="30"/>
  <c r="I45" i="29"/>
  <c r="H45" i="29"/>
  <c r="I31" i="29"/>
  <c r="H31" i="29"/>
  <c r="H37" i="30"/>
  <c r="I37" i="30"/>
  <c r="I42" i="30"/>
  <c r="H42" i="30"/>
  <c r="I58" i="30"/>
  <c r="H58" i="30"/>
  <c r="H33" i="30"/>
  <c r="I33" i="30"/>
  <c r="H10" i="28"/>
  <c r="G10" i="28"/>
  <c r="I10" i="28" s="1"/>
  <c r="I14" i="30"/>
  <c r="H14" i="30"/>
  <c r="H27" i="30"/>
  <c r="I27" i="30"/>
  <c r="H43" i="30"/>
  <c r="I43" i="30"/>
  <c r="G27" i="28"/>
  <c r="I27" i="28" s="1"/>
  <c r="H27" i="28"/>
  <c r="H36" i="29"/>
  <c r="I36" i="29"/>
  <c r="G43" i="28"/>
  <c r="I43" i="28" s="1"/>
  <c r="H43" i="28"/>
  <c r="H56" i="28"/>
  <c r="G56" i="28"/>
  <c r="I56" i="28" s="1"/>
  <c r="G15" i="28"/>
  <c r="I15" i="28" s="1"/>
  <c r="H15" i="28"/>
  <c r="I51" i="29"/>
  <c r="H51" i="29"/>
  <c r="G39" i="28"/>
  <c r="I39" i="28" s="1"/>
  <c r="H39" i="28"/>
  <c r="I10" i="30"/>
  <c r="H10" i="30"/>
  <c r="AM15" i="1" l="1"/>
  <c r="AL15" i="1"/>
  <c r="AK16" i="1" s="1"/>
  <c r="AN16" i="1" l="1"/>
  <c r="AL16" i="1"/>
  <c r="AN17" i="1" s="1"/>
  <c r="AM16" i="1"/>
  <c r="AK17" i="1" l="1"/>
  <c r="AL17" i="1" s="1"/>
  <c r="AK18" i="1" s="1"/>
  <c r="AM17" i="1" l="1"/>
  <c r="AL18" i="1"/>
  <c r="AN19" i="1" s="1"/>
  <c r="AM18" i="1"/>
  <c r="AN18" i="1"/>
  <c r="AK19" i="1" l="1"/>
  <c r="AL19" i="1" s="1"/>
  <c r="AK20" i="1" s="1"/>
  <c r="AM19" i="1" l="1"/>
  <c r="AL20" i="1"/>
  <c r="AN21" i="1" s="1"/>
  <c r="AK21" i="1"/>
  <c r="AM20" i="1"/>
  <c r="AN20" i="1"/>
  <c r="AL21" i="1" l="1"/>
  <c r="AN22" i="1" s="1"/>
  <c r="AM21" i="1"/>
  <c r="AK22" i="1" l="1"/>
  <c r="AL22" i="1" s="1"/>
  <c r="AN23" i="1" s="1"/>
  <c r="AM22" i="1" l="1"/>
  <c r="AK23" i="1"/>
  <c r="AL23" i="1" l="1"/>
  <c r="AN24" i="1" s="1"/>
  <c r="AM23" i="1"/>
  <c r="AK24" i="1" l="1"/>
  <c r="AL24" i="1" l="1"/>
  <c r="AK25" i="1" s="1"/>
  <c r="AM24" i="1"/>
  <c r="AL25" i="1" l="1"/>
  <c r="AN26" i="1" s="1"/>
  <c r="AM25" i="1"/>
  <c r="AN25" i="1"/>
  <c r="AK26" i="1" l="1"/>
  <c r="AL26" i="1" s="1"/>
  <c r="AN27" i="1" s="1"/>
  <c r="AK27" i="1" l="1"/>
  <c r="AM27" i="1" s="1"/>
  <c r="AM26" i="1"/>
  <c r="AL27" i="1" l="1"/>
  <c r="AN28" i="1" s="1"/>
  <c r="AK28" i="1" l="1"/>
  <c r="AL28" i="1" l="1"/>
  <c r="AN29" i="1" s="1"/>
  <c r="AM28" i="1"/>
  <c r="AK29" i="1" l="1"/>
  <c r="AM29" i="1" s="1"/>
  <c r="AL29" i="1" l="1"/>
  <c r="AK30" i="1" s="1"/>
  <c r="AL30" i="1" s="1"/>
  <c r="AN31" i="1" s="1"/>
  <c r="AN30" i="1" l="1"/>
  <c r="AM30" i="1"/>
  <c r="AK31" i="1"/>
  <c r="AM31" i="1" l="1"/>
  <c r="AL31" i="1"/>
  <c r="AN32" i="1" s="1"/>
  <c r="AK32" i="1" l="1"/>
  <c r="AL32" i="1" s="1"/>
  <c r="AK33" i="1" s="1"/>
  <c r="AM32" i="1" l="1"/>
  <c r="AN33" i="1"/>
  <c r="AL33" i="1"/>
  <c r="AK34" i="1" s="1"/>
  <c r="AM33" i="1"/>
  <c r="AN34" i="1" l="1"/>
  <c r="AM34" i="1"/>
  <c r="AL34" i="1"/>
  <c r="AK35" i="1" s="1"/>
  <c r="AN35" i="1" l="1"/>
  <c r="AL35" i="1"/>
  <c r="AK36" i="1" s="1"/>
  <c r="AM35" i="1"/>
  <c r="AN36" i="1" l="1"/>
  <c r="AM36" i="1"/>
  <c r="AL36" i="1"/>
  <c r="AK37" i="1" s="1"/>
  <c r="AN37" i="1" l="1"/>
  <c r="AL37" i="1"/>
  <c r="AK38" i="1" s="1"/>
  <c r="AM37" i="1"/>
  <c r="AN38" i="1" l="1"/>
  <c r="AL38" i="1"/>
  <c r="AN39" i="1" s="1"/>
  <c r="AM38" i="1"/>
  <c r="AK39" i="1" l="1"/>
  <c r="AL39" i="1" l="1"/>
  <c r="AN40" i="1" s="1"/>
  <c r="AM39" i="1"/>
  <c r="AK40" i="1" l="1"/>
  <c r="AL40" i="1" l="1"/>
  <c r="AK41" i="1" s="1"/>
  <c r="AM40" i="1"/>
  <c r="AN41" i="1" l="1"/>
  <c r="AL41" i="1"/>
  <c r="AK42" i="1" s="1"/>
  <c r="AM41" i="1"/>
  <c r="AN42" i="1" l="1"/>
  <c r="AL42" i="1"/>
  <c r="AN43" i="1" s="1"/>
  <c r="AM42" i="1"/>
  <c r="AK43" i="1" l="1"/>
  <c r="AL43" i="1" s="1"/>
  <c r="AN44" i="1" s="1"/>
  <c r="AM43" i="1" l="1"/>
  <c r="AK44" i="1"/>
  <c r="AL44" i="1" s="1"/>
  <c r="AN45" i="1" s="1"/>
  <c r="AM44" i="1" l="1"/>
  <c r="AK45" i="1"/>
  <c r="AL45" i="1" s="1"/>
  <c r="AK46" i="1" s="1"/>
  <c r="AM45" i="1" l="1"/>
  <c r="AN46" i="1"/>
  <c r="AM46" i="1"/>
  <c r="AL46" i="1"/>
  <c r="AN47" i="1" s="1"/>
  <c r="AK47" i="1" l="1"/>
  <c r="AL47" i="1" l="1"/>
  <c r="AN48" i="1" s="1"/>
  <c r="AM47" i="1"/>
  <c r="AK48" i="1" l="1"/>
  <c r="AM48" i="1" l="1"/>
  <c r="AL48" i="1"/>
  <c r="AN49" i="1" s="1"/>
  <c r="AK49" i="1" l="1"/>
  <c r="AL49" i="1" s="1"/>
  <c r="AN50" i="1" s="1"/>
  <c r="AK50" i="1" l="1"/>
  <c r="AM50" i="1" s="1"/>
  <c r="AM49" i="1"/>
  <c r="AL50" i="1" l="1"/>
  <c r="AN51" i="1" s="1"/>
  <c r="AK51" i="1" l="1"/>
  <c r="AL51" i="1" s="1"/>
  <c r="AN52" i="1" s="1"/>
  <c r="AK52" i="1" l="1"/>
  <c r="AM52" i="1" s="1"/>
  <c r="AM51" i="1"/>
  <c r="AL52" i="1" l="1"/>
  <c r="AN53" i="1" l="1"/>
  <c r="AK53" i="1"/>
  <c r="AL53" i="1" l="1"/>
  <c r="AM53" i="1"/>
  <c r="AN54" i="1" l="1"/>
  <c r="AK54" i="1"/>
  <c r="AL54" i="1" l="1"/>
  <c r="AM54" i="1"/>
  <c r="AN55" i="1" l="1"/>
  <c r="AK55" i="1"/>
  <c r="AL55" i="1" l="1"/>
  <c r="AN56" i="1" s="1"/>
  <c r="AM55" i="1"/>
  <c r="AK56" i="1" l="1"/>
  <c r="AM56" i="1" s="1"/>
  <c r="AL56" i="1" l="1"/>
  <c r="AN57" i="1" s="1"/>
  <c r="AK57" i="1" l="1"/>
  <c r="AM57" i="1" l="1"/>
  <c r="AL57" i="1"/>
  <c r="AK58" i="1" s="1"/>
  <c r="AN58" i="1" l="1"/>
  <c r="AM58" i="1"/>
  <c r="AL58" i="1"/>
  <c r="AK59" i="1" s="1"/>
  <c r="AN59" i="1" l="1"/>
  <c r="AM59" i="1"/>
  <c r="AL59" i="1"/>
  <c r="AN60" i="1" s="1"/>
  <c r="AK60" i="1" l="1"/>
  <c r="AL60" i="1" s="1"/>
  <c r="AN61" i="1" s="1"/>
  <c r="AM60" i="1" l="1"/>
  <c r="AK61" i="1"/>
  <c r="AM61" i="1" l="1"/>
  <c r="AL61" i="1"/>
</calcChain>
</file>

<file path=xl/sharedStrings.xml><?xml version="1.0" encoding="utf-8"?>
<sst xmlns="http://schemas.openxmlformats.org/spreadsheetml/2006/main" count="655" uniqueCount="46">
  <si>
    <t>Month</t>
  </si>
  <si>
    <t>Demand</t>
  </si>
  <si>
    <t>Period</t>
  </si>
  <si>
    <t>3 Point Moving Average</t>
  </si>
  <si>
    <t>Exponential Smoothing</t>
  </si>
  <si>
    <t>Avg(Ft)</t>
  </si>
  <si>
    <t>Trend(Tt)</t>
  </si>
  <si>
    <t>Level(Lt)</t>
  </si>
  <si>
    <t>Trend(T(t)</t>
  </si>
  <si>
    <t>Seasonal(S(t)</t>
  </si>
  <si>
    <t>Winter's Forecast</t>
  </si>
  <si>
    <t>6 Point Moving Average</t>
  </si>
  <si>
    <t>12 Point Moving Average</t>
  </si>
  <si>
    <t>2018-2019</t>
  </si>
  <si>
    <t>JAN</t>
  </si>
  <si>
    <t>Alpha</t>
  </si>
  <si>
    <t>Beta</t>
  </si>
  <si>
    <t>Gamma</t>
  </si>
  <si>
    <t>FEB</t>
  </si>
  <si>
    <t>MAR</t>
  </si>
  <si>
    <t>APR</t>
  </si>
  <si>
    <t>MAY</t>
  </si>
  <si>
    <t>JUNE</t>
  </si>
  <si>
    <t>JULY</t>
  </si>
  <si>
    <t>AUG</t>
  </si>
  <si>
    <t>SEPT</t>
  </si>
  <si>
    <t>OCT</t>
  </si>
  <si>
    <t>NOV</t>
  </si>
  <si>
    <t>DEC</t>
  </si>
  <si>
    <t>2019-2020</t>
  </si>
  <si>
    <t>2020-2021</t>
  </si>
  <si>
    <t>2021-2022</t>
  </si>
  <si>
    <t>2022-2023</t>
  </si>
  <si>
    <t>Forecast</t>
  </si>
  <si>
    <t>Deviation</t>
  </si>
  <si>
    <t>Absolute Deviation</t>
  </si>
  <si>
    <t>Squared Error</t>
  </si>
  <si>
    <t>Absolute Deviation Percentage</t>
  </si>
  <si>
    <t>Methods</t>
  </si>
  <si>
    <t>Holt's Trend Method</t>
  </si>
  <si>
    <t>Winter's Seasonal Method</t>
  </si>
  <si>
    <t>MSE Comparison</t>
  </si>
  <si>
    <t>MAPE Comparison</t>
  </si>
  <si>
    <t>MAD Comparison</t>
  </si>
  <si>
    <t>EDIT DATA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</si>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</sst>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theme="9"/>
      </patternFill>
    </fill>
    <fill>
      <patternFill patternType="solid">
        <fgColor theme="8" tint="0.79998168889431442"/>
        <bgColor theme="9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/>
    <xf numFmtId="0" fontId="1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" xfId="0" applyBorder="1" applyProtection="1">
      <protection locked="0"/>
    </xf>
    <xf numFmtId="0" fontId="0" fillId="0" borderId="5" xfId="0" applyBorder="1"/>
    <xf numFmtId="0" fontId="0" fillId="3" borderId="6" xfId="0" applyFill="1" applyBorder="1"/>
    <xf numFmtId="0" fontId="0" fillId="3" borderId="7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4" borderId="6" xfId="0" applyFill="1" applyBorder="1"/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0" borderId="0" xfId="0" applyAlignment="1">
      <alignment horizontal="center"/>
    </xf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11" fontId="0" fillId="0" borderId="1" xfId="0" applyNumberFormat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6" borderId="0" xfId="0" applyFill="1" applyProtection="1">
      <protection locked="0"/>
    </xf>
    <xf numFmtId="0" fontId="0" fillId="7" borderId="1" xfId="0" applyFill="1" applyBorder="1"/>
    <xf numFmtId="0" fontId="1" fillId="0" borderId="1" xfId="0" applyFont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theme="9" tint="0.39997558519241921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theme="9" tint="0.39997558519241921"/>
        </left>
        <right/>
        <top style="thin">
          <color theme="9" tint="0.39997558519241921"/>
        </top>
        <bottom/>
      </border>
    </dxf>
    <dxf>
      <border outline="0"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theme="9" tint="0.39997558519241921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theme="9" tint="0.39997558519241921"/>
        </left>
        <right/>
        <top style="thin">
          <color theme="9" tint="0.39997558519241921"/>
        </top>
        <bottom/>
      </border>
    </dxf>
    <dxf>
      <border outline="0"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14MA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909581954429607E-2"/>
          <c:y val="4.6712962962962963E-2"/>
          <c:w val="0.94341226368443076"/>
          <c:h val="0.85514690871974319"/>
        </c:manualLayout>
      </c:layout>
      <c:lineChart>
        <c:grouping val="stacked"/>
        <c:varyColors val="0"/>
        <c:ser>
          <c:idx val="1"/>
          <c:order val="0"/>
          <c:tx>
            <c:strRef>
              <c:f>Data!$N$1</c:f>
              <c:strCache>
                <c:ptCount val="1"/>
                <c:pt idx="0">
                  <c:v>14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Data!$N$2:$N$61</c:f>
              <c:numCache>
                <c:formatCode>General</c:formatCode>
                <c:ptCount val="60"/>
                <c:pt idx="16">
                  <c:v>128.42857142857142</c:v>
                </c:pt>
                <c:pt idx="17">
                  <c:v>131.14285714285714</c:v>
                </c:pt>
                <c:pt idx="18">
                  <c:v>130.14285714285714</c:v>
                </c:pt>
                <c:pt idx="19">
                  <c:v>137.14285714285714</c:v>
                </c:pt>
                <c:pt idx="20">
                  <c:v>160.07142857142858</c:v>
                </c:pt>
                <c:pt idx="21">
                  <c:v>150.5</c:v>
                </c:pt>
                <c:pt idx="22">
                  <c:v>154.64285714285714</c:v>
                </c:pt>
                <c:pt idx="23">
                  <c:v>154.14285714285714</c:v>
                </c:pt>
                <c:pt idx="24">
                  <c:v>141.21428571428572</c:v>
                </c:pt>
                <c:pt idx="25">
                  <c:v>141.21428571428572</c:v>
                </c:pt>
                <c:pt idx="26">
                  <c:v>139.28571428571428</c:v>
                </c:pt>
                <c:pt idx="27">
                  <c:v>145.57142857142858</c:v>
                </c:pt>
                <c:pt idx="28">
                  <c:v>135.57142857142858</c:v>
                </c:pt>
                <c:pt idx="29">
                  <c:v>137.85714285714286</c:v>
                </c:pt>
                <c:pt idx="30">
                  <c:v>134.57142857142858</c:v>
                </c:pt>
                <c:pt idx="31">
                  <c:v>133.92857142857142</c:v>
                </c:pt>
                <c:pt idx="32">
                  <c:v>136.07142857142858</c:v>
                </c:pt>
                <c:pt idx="33">
                  <c:v>134.42857142857142</c:v>
                </c:pt>
                <c:pt idx="34">
                  <c:v>119.5</c:v>
                </c:pt>
                <c:pt idx="35">
                  <c:v>118.92857142857143</c:v>
                </c:pt>
                <c:pt idx="36">
                  <c:v>113.35714285714286</c:v>
                </c:pt>
                <c:pt idx="37">
                  <c:v>119.14285714285714</c:v>
                </c:pt>
                <c:pt idx="38">
                  <c:v>125.21428571428571</c:v>
                </c:pt>
                <c:pt idx="39">
                  <c:v>118.21428571428571</c:v>
                </c:pt>
                <c:pt idx="40">
                  <c:v>115.71428571428571</c:v>
                </c:pt>
                <c:pt idx="41">
                  <c:v>109.78571428571429</c:v>
                </c:pt>
                <c:pt idx="42">
                  <c:v>108.21428571428571</c:v>
                </c:pt>
                <c:pt idx="43">
                  <c:v>117.64285714285714</c:v>
                </c:pt>
                <c:pt idx="44">
                  <c:v>129.42857142857142</c:v>
                </c:pt>
                <c:pt idx="45">
                  <c:v>138</c:v>
                </c:pt>
                <c:pt idx="46">
                  <c:v>134.57142857142858</c:v>
                </c:pt>
                <c:pt idx="47">
                  <c:v>136.42857142857142</c:v>
                </c:pt>
                <c:pt idx="48">
                  <c:v>132.78571428571428</c:v>
                </c:pt>
                <c:pt idx="49">
                  <c:v>130.71428571428572</c:v>
                </c:pt>
                <c:pt idx="50">
                  <c:v>134</c:v>
                </c:pt>
                <c:pt idx="51">
                  <c:v>122.07142857142857</c:v>
                </c:pt>
                <c:pt idx="52">
                  <c:v>119.42857142857143</c:v>
                </c:pt>
                <c:pt idx="53">
                  <c:v>123.42857142857143</c:v>
                </c:pt>
                <c:pt idx="54">
                  <c:v>128.35714285714286</c:v>
                </c:pt>
                <c:pt idx="55">
                  <c:v>130.21428571428572</c:v>
                </c:pt>
                <c:pt idx="56">
                  <c:v>141.14285714285714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13-41AD-968B-C6823E48A068}"/>
            </c:ext>
          </c:extLst>
        </c:ser>
        <c:ser>
          <c:idx val="0"/>
          <c:order val="1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13-41AD-968B-C6823E48A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540928"/>
        <c:axId val="491343792"/>
      </c:lineChart>
      <c:catAx>
        <c:axId val="304540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3792"/>
        <c:crosses val="autoZero"/>
        <c:auto val="1"/>
        <c:lblAlgn val="ctr"/>
        <c:lblOffset val="100"/>
        <c:noMultiLvlLbl val="0"/>
      </c:catAx>
      <c:valAx>
        <c:axId val="491343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2199952278692"/>
          <c:y val="2.3726305045202681E-2"/>
          <c:w val="0.16821263819295315"/>
          <c:h val="0.318288130650335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</a:t>
            </a:r>
            <a:r>
              <a:rPr lang="en-US" baseline="0"/>
              <a:t> Methods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339533645250867E-2"/>
          <c:y val="5.0764435695538054E-2"/>
          <c:w val="0.95037544220015979"/>
          <c:h val="0.82794728783902016"/>
        </c:manualLayout>
      </c:layout>
      <c:lineChart>
        <c:grouping val="stacked"/>
        <c:varyColors val="0"/>
        <c:ser>
          <c:idx val="5"/>
          <c:order val="0"/>
          <c:tx>
            <c:strRef>
              <c:f>Data!$M$1</c:f>
              <c:strCache>
                <c:ptCount val="1"/>
                <c:pt idx="0">
                  <c:v>Winter's Seasonal Method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Data!$M$2:$M$61</c:f>
              <c:numCache>
                <c:formatCode>General</c:formatCode>
                <c:ptCount val="60"/>
                <c:pt idx="13">
                  <c:v>417.3</c:v>
                </c:pt>
                <c:pt idx="14">
                  <c:v>126.39308411214954</c:v>
                </c:pt>
                <c:pt idx="15">
                  <c:v>274.29710579439256</c:v>
                </c:pt>
                <c:pt idx="16">
                  <c:v>112.15042476716788</c:v>
                </c:pt>
                <c:pt idx="17">
                  <c:v>57.744781131760611</c:v>
                </c:pt>
                <c:pt idx="18">
                  <c:v>584.39470223879596</c:v>
                </c:pt>
                <c:pt idx="19">
                  <c:v>189.23258124789311</c:v>
                </c:pt>
                <c:pt idx="20">
                  <c:v>391.58245121361063</c:v>
                </c:pt>
                <c:pt idx="21">
                  <c:v>474.39458061998891</c:v>
                </c:pt>
                <c:pt idx="22">
                  <c:v>214.33343366702189</c:v>
                </c:pt>
                <c:pt idx="23">
                  <c:v>150.4589962810667</c:v>
                </c:pt>
                <c:pt idx="24">
                  <c:v>22.375270456483559</c:v>
                </c:pt>
                <c:pt idx="25">
                  <c:v>162.94409512512473</c:v>
                </c:pt>
                <c:pt idx="26">
                  <c:v>33.103420471512784</c:v>
                </c:pt>
                <c:pt idx="27">
                  <c:v>182.12173427929835</c:v>
                </c:pt>
                <c:pt idx="28">
                  <c:v>147.72347223009459</c:v>
                </c:pt>
                <c:pt idx="29">
                  <c:v>149.25466667447557</c:v>
                </c:pt>
                <c:pt idx="30">
                  <c:v>235.31989840017542</c:v>
                </c:pt>
                <c:pt idx="31">
                  <c:v>276.42402502526863</c:v>
                </c:pt>
                <c:pt idx="32">
                  <c:v>92.024538177926729</c:v>
                </c:pt>
                <c:pt idx="33">
                  <c:v>118.33386556591272</c:v>
                </c:pt>
                <c:pt idx="34">
                  <c:v>110.26126955421302</c:v>
                </c:pt>
                <c:pt idx="35">
                  <c:v>50.064783376480719</c:v>
                </c:pt>
                <c:pt idx="36">
                  <c:v>98.284239591801025</c:v>
                </c:pt>
                <c:pt idx="37">
                  <c:v>121.06136521105988</c:v>
                </c:pt>
                <c:pt idx="38">
                  <c:v>104.863595304011</c:v>
                </c:pt>
                <c:pt idx="39">
                  <c:v>54.427391383423469</c:v>
                </c:pt>
                <c:pt idx="40">
                  <c:v>51.837935458852677</c:v>
                </c:pt>
                <c:pt idx="41">
                  <c:v>55.980982827180078</c:v>
                </c:pt>
                <c:pt idx="42">
                  <c:v>88.252106233891737</c:v>
                </c:pt>
                <c:pt idx="43">
                  <c:v>284.93107352049378</c:v>
                </c:pt>
                <c:pt idx="44">
                  <c:v>313.52398631898063</c:v>
                </c:pt>
                <c:pt idx="45">
                  <c:v>400.0371997540866</c:v>
                </c:pt>
                <c:pt idx="46">
                  <c:v>329.93299358669105</c:v>
                </c:pt>
                <c:pt idx="47">
                  <c:v>181.72983795298879</c:v>
                </c:pt>
                <c:pt idx="48">
                  <c:v>307.06193169901923</c:v>
                </c:pt>
                <c:pt idx="49">
                  <c:v>73.687053152076984</c:v>
                </c:pt>
                <c:pt idx="50">
                  <c:v>9.841814682685186</c:v>
                </c:pt>
                <c:pt idx="51">
                  <c:v>15.687091597309083</c:v>
                </c:pt>
                <c:pt idx="52">
                  <c:v>25.887712457550435</c:v>
                </c:pt>
                <c:pt idx="53">
                  <c:v>46.962119989524297</c:v>
                </c:pt>
                <c:pt idx="54">
                  <c:v>199.66336592090323</c:v>
                </c:pt>
                <c:pt idx="55">
                  <c:v>212.32148882797989</c:v>
                </c:pt>
                <c:pt idx="56">
                  <c:v>201.93655385706398</c:v>
                </c:pt>
                <c:pt idx="57">
                  <c:v>147.47223939312568</c:v>
                </c:pt>
                <c:pt idx="58">
                  <c:v>284.84547657980977</c:v>
                </c:pt>
                <c:pt idx="59">
                  <c:v>197.69161770648105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E8-43A5-956B-109C1F13C946}"/>
            </c:ext>
          </c:extLst>
        </c:ser>
        <c:ser>
          <c:idx val="2"/>
          <c:order val="1"/>
          <c:tx>
            <c:strRef>
              <c:f>Data!$P$1</c:f>
              <c:strCache>
                <c:ptCount val="1"/>
                <c:pt idx="0">
                  <c:v>12 Point Moving Average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Data!$P$2:$P$61</c:f>
              <c:numCache>
                <c:formatCode>General</c:formatCode>
                <c:ptCount val="60"/>
                <c:pt idx="12">
                  <c:v>132.58333333333334</c:v>
                </c:pt>
                <c:pt idx="13">
                  <c:v>134.16666666666666</c:v>
                </c:pt>
                <c:pt idx="14">
                  <c:v>135.33333333333334</c:v>
                </c:pt>
                <c:pt idx="15">
                  <c:v>134.58333333333334</c:v>
                </c:pt>
                <c:pt idx="16">
                  <c:v>133.33333333333334</c:v>
                </c:pt>
                <c:pt idx="17">
                  <c:v>136.08333333333334</c:v>
                </c:pt>
                <c:pt idx="18">
                  <c:v>143.41666666666666</c:v>
                </c:pt>
                <c:pt idx="19">
                  <c:v>134.75</c:v>
                </c:pt>
                <c:pt idx="20">
                  <c:v>155.91666666666666</c:v>
                </c:pt>
                <c:pt idx="21">
                  <c:v>153.33333333333334</c:v>
                </c:pt>
                <c:pt idx="22">
                  <c:v>147.41666666666666</c:v>
                </c:pt>
                <c:pt idx="23">
                  <c:v>148.83333333333334</c:v>
                </c:pt>
                <c:pt idx="24">
                  <c:v>142.08333333333334</c:v>
                </c:pt>
                <c:pt idx="25">
                  <c:v>148.83333333333334</c:v>
                </c:pt>
                <c:pt idx="26">
                  <c:v>138.58333333333334</c:v>
                </c:pt>
                <c:pt idx="27">
                  <c:v>146.58333333333334</c:v>
                </c:pt>
                <c:pt idx="28">
                  <c:v>143.66666666666666</c:v>
                </c:pt>
                <c:pt idx="29">
                  <c:v>142.41666666666666</c:v>
                </c:pt>
                <c:pt idx="30">
                  <c:v>138.5</c:v>
                </c:pt>
                <c:pt idx="31">
                  <c:v>132.33333333333334</c:v>
                </c:pt>
                <c:pt idx="32">
                  <c:v>115.41666666666667</c:v>
                </c:pt>
                <c:pt idx="33">
                  <c:v>116</c:v>
                </c:pt>
                <c:pt idx="34">
                  <c:v>114.91666666666667</c:v>
                </c:pt>
                <c:pt idx="35">
                  <c:v>112.25</c:v>
                </c:pt>
                <c:pt idx="36">
                  <c:v>114.91666666666667</c:v>
                </c:pt>
                <c:pt idx="37">
                  <c:v>123.08333333333333</c:v>
                </c:pt>
                <c:pt idx="38">
                  <c:v>125.66666666666667</c:v>
                </c:pt>
                <c:pt idx="39">
                  <c:v>116.91666666666667</c:v>
                </c:pt>
                <c:pt idx="40">
                  <c:v>115.41666666666667</c:v>
                </c:pt>
                <c:pt idx="41">
                  <c:v>113.83333333333333</c:v>
                </c:pt>
                <c:pt idx="42">
                  <c:v>112.91666666666667</c:v>
                </c:pt>
                <c:pt idx="43">
                  <c:v>123.41666666666667</c:v>
                </c:pt>
                <c:pt idx="44">
                  <c:v>130.75</c:v>
                </c:pt>
                <c:pt idx="45">
                  <c:v>136.5</c:v>
                </c:pt>
                <c:pt idx="46">
                  <c:v>133</c:v>
                </c:pt>
                <c:pt idx="47">
                  <c:v>136.41666666666666</c:v>
                </c:pt>
                <c:pt idx="48">
                  <c:v>137.58333333333334</c:v>
                </c:pt>
                <c:pt idx="49">
                  <c:v>125.75</c:v>
                </c:pt>
                <c:pt idx="50">
                  <c:v>125.16666666666667</c:v>
                </c:pt>
                <c:pt idx="51">
                  <c:v>127.58333333333333</c:v>
                </c:pt>
                <c:pt idx="52">
                  <c:v>130</c:v>
                </c:pt>
                <c:pt idx="53">
                  <c:v>132.83333333333334</c:v>
                </c:pt>
                <c:pt idx="54">
                  <c:v>138.91666666666666</c:v>
                </c:pt>
                <c:pt idx="55">
                  <c:v>128.5</c:v>
                </c:pt>
                <c:pt idx="56">
                  <c:v>126.58333333333333</c:v>
                </c:pt>
                <c:pt idx="57">
                  <c:v>126.33333333333333</c:v>
                </c:pt>
                <c:pt idx="58">
                  <c:v>133</c:v>
                </c:pt>
                <c:pt idx="59">
                  <c:v>130.83333333333334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E8-43A5-956B-109C1F13C946}"/>
            </c:ext>
          </c:extLst>
        </c:ser>
        <c:ser>
          <c:idx val="1"/>
          <c:order val="2"/>
          <c:tx>
            <c:strRef>
              <c:f>Data!$O$1</c:f>
              <c:strCache>
                <c:ptCount val="1"/>
                <c:pt idx="0">
                  <c:v>6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Data!$O$2:$O$61</c:f>
              <c:numCache>
                <c:formatCode>General</c:formatCode>
                <c:ptCount val="60"/>
                <c:pt idx="6">
                  <c:v>92.166666666666671</c:v>
                </c:pt>
                <c:pt idx="7">
                  <c:v>130</c:v>
                </c:pt>
                <c:pt idx="8">
                  <c:v>111.5</c:v>
                </c:pt>
                <c:pt idx="9">
                  <c:v>128.83333333333334</c:v>
                </c:pt>
                <c:pt idx="10">
                  <c:v>144.5</c:v>
                </c:pt>
                <c:pt idx="11">
                  <c:v>157</c:v>
                </c:pt>
                <c:pt idx="12">
                  <c:v>173</c:v>
                </c:pt>
                <c:pt idx="13">
                  <c:v>138.33333333333334</c:v>
                </c:pt>
                <c:pt idx="14">
                  <c:v>159.16666666666666</c:v>
                </c:pt>
                <c:pt idx="15">
                  <c:v>140.33333333333334</c:v>
                </c:pt>
                <c:pt idx="16">
                  <c:v>122.16666666666667</c:v>
                </c:pt>
                <c:pt idx="17">
                  <c:v>115.16666666666667</c:v>
                </c:pt>
                <c:pt idx="18">
                  <c:v>113.83333333333333</c:v>
                </c:pt>
                <c:pt idx="19">
                  <c:v>131.16666666666666</c:v>
                </c:pt>
                <c:pt idx="20">
                  <c:v>152.66666666666666</c:v>
                </c:pt>
                <c:pt idx="21">
                  <c:v>166.33333333333334</c:v>
                </c:pt>
                <c:pt idx="22">
                  <c:v>172.66666666666666</c:v>
                </c:pt>
                <c:pt idx="23">
                  <c:v>182.5</c:v>
                </c:pt>
                <c:pt idx="24">
                  <c:v>170.33333333333334</c:v>
                </c:pt>
                <c:pt idx="25">
                  <c:v>166.5</c:v>
                </c:pt>
                <c:pt idx="26">
                  <c:v>124.5</c:v>
                </c:pt>
                <c:pt idx="27">
                  <c:v>126.83333333333333</c:v>
                </c:pt>
                <c:pt idx="28">
                  <c:v>114.66666666666667</c:v>
                </c:pt>
                <c:pt idx="29">
                  <c:v>102.33333333333333</c:v>
                </c:pt>
                <c:pt idx="30">
                  <c:v>106.66666666666667</c:v>
                </c:pt>
                <c:pt idx="31">
                  <c:v>98.166666666666671</c:v>
                </c:pt>
                <c:pt idx="32">
                  <c:v>106.33333333333333</c:v>
                </c:pt>
                <c:pt idx="33">
                  <c:v>105.16666666666667</c:v>
                </c:pt>
                <c:pt idx="34">
                  <c:v>115.16666666666667</c:v>
                </c:pt>
                <c:pt idx="35">
                  <c:v>122.16666666666667</c:v>
                </c:pt>
                <c:pt idx="36">
                  <c:v>123.16666666666667</c:v>
                </c:pt>
                <c:pt idx="37">
                  <c:v>148</c:v>
                </c:pt>
                <c:pt idx="38">
                  <c:v>145</c:v>
                </c:pt>
                <c:pt idx="39">
                  <c:v>128.66666666666666</c:v>
                </c:pt>
                <c:pt idx="40">
                  <c:v>115.66666666666667</c:v>
                </c:pt>
                <c:pt idx="41">
                  <c:v>105.5</c:v>
                </c:pt>
                <c:pt idx="42">
                  <c:v>102.66666666666667</c:v>
                </c:pt>
                <c:pt idx="43">
                  <c:v>98.833333333333329</c:v>
                </c:pt>
                <c:pt idx="44">
                  <c:v>116.5</c:v>
                </c:pt>
                <c:pt idx="45">
                  <c:v>144.33333333333334</c:v>
                </c:pt>
                <c:pt idx="46">
                  <c:v>150.33333333333334</c:v>
                </c:pt>
                <c:pt idx="47">
                  <c:v>167.33333333333334</c:v>
                </c:pt>
                <c:pt idx="48">
                  <c:v>172.5</c:v>
                </c:pt>
                <c:pt idx="49">
                  <c:v>152.66666666666666</c:v>
                </c:pt>
                <c:pt idx="50">
                  <c:v>133.83333333333334</c:v>
                </c:pt>
                <c:pt idx="51">
                  <c:v>110.83333333333333</c:v>
                </c:pt>
                <c:pt idx="52">
                  <c:v>109.66666666666667</c:v>
                </c:pt>
                <c:pt idx="53">
                  <c:v>98.333333333333329</c:v>
                </c:pt>
                <c:pt idx="54">
                  <c:v>105.33333333333333</c:v>
                </c:pt>
                <c:pt idx="55">
                  <c:v>104.33333333333333</c:v>
                </c:pt>
                <c:pt idx="56">
                  <c:v>119.33333333333333</c:v>
                </c:pt>
                <c:pt idx="57">
                  <c:v>141.83333333333334</c:v>
                </c:pt>
                <c:pt idx="58">
                  <c:v>156.33333333333334</c:v>
                </c:pt>
                <c:pt idx="59">
                  <c:v>163.33333333333334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8-43A5-956B-109C1F13C946}"/>
            </c:ext>
          </c:extLst>
        </c:ser>
        <c:ser>
          <c:idx val="0"/>
          <c:order val="3"/>
          <c:tx>
            <c:strRef>
              <c:f>Data!$E$1</c:f>
              <c:strCache>
                <c:ptCount val="1"/>
                <c:pt idx="0">
                  <c:v>3 Point Moving Average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Data!$E$2:$E$61</c:f>
              <c:numCache>
                <c:formatCode>General</c:formatCode>
                <c:ptCount val="60"/>
                <c:pt idx="3">
                  <c:v>104.66666666666667</c:v>
                </c:pt>
                <c:pt idx="4">
                  <c:v>137.33333333333334</c:v>
                </c:pt>
                <c:pt idx="5">
                  <c:v>87.666666666666671</c:v>
                </c:pt>
                <c:pt idx="6">
                  <c:v>79.666666666666671</c:v>
                </c:pt>
                <c:pt idx="7">
                  <c:v>122.66666666666667</c:v>
                </c:pt>
                <c:pt idx="8">
                  <c:v>135.33333333333334</c:v>
                </c:pt>
                <c:pt idx="9">
                  <c:v>178</c:v>
                </c:pt>
                <c:pt idx="10">
                  <c:v>166.33333333333334</c:v>
                </c:pt>
                <c:pt idx="11">
                  <c:v>178.66666666666666</c:v>
                </c:pt>
                <c:pt idx="12">
                  <c:v>168</c:v>
                </c:pt>
                <c:pt idx="13">
                  <c:v>110.33333333333333</c:v>
                </c:pt>
                <c:pt idx="14">
                  <c:v>139.66666666666666</c:v>
                </c:pt>
                <c:pt idx="15">
                  <c:v>112.66666666666667</c:v>
                </c:pt>
                <c:pt idx="16">
                  <c:v>134</c:v>
                </c:pt>
                <c:pt idx="17">
                  <c:v>90.666666666666671</c:v>
                </c:pt>
                <c:pt idx="18">
                  <c:v>115</c:v>
                </c:pt>
                <c:pt idx="19">
                  <c:v>128.33333333333334</c:v>
                </c:pt>
                <c:pt idx="20">
                  <c:v>214.66666666666666</c:v>
                </c:pt>
                <c:pt idx="21">
                  <c:v>217.66666666666666</c:v>
                </c:pt>
                <c:pt idx="22">
                  <c:v>217</c:v>
                </c:pt>
                <c:pt idx="23">
                  <c:v>150.33333333333334</c:v>
                </c:pt>
                <c:pt idx="24">
                  <c:v>123</c:v>
                </c:pt>
                <c:pt idx="25">
                  <c:v>116</c:v>
                </c:pt>
                <c:pt idx="26">
                  <c:v>98.666666666666671</c:v>
                </c:pt>
                <c:pt idx="27">
                  <c:v>130.66666666666666</c:v>
                </c:pt>
                <c:pt idx="28">
                  <c:v>113.33333333333333</c:v>
                </c:pt>
                <c:pt idx="29">
                  <c:v>106</c:v>
                </c:pt>
                <c:pt idx="30">
                  <c:v>82.666666666666671</c:v>
                </c:pt>
                <c:pt idx="31">
                  <c:v>83</c:v>
                </c:pt>
                <c:pt idx="32">
                  <c:v>106.66666666666667</c:v>
                </c:pt>
                <c:pt idx="33">
                  <c:v>127.66666666666667</c:v>
                </c:pt>
                <c:pt idx="34">
                  <c:v>147.33333333333334</c:v>
                </c:pt>
                <c:pt idx="35">
                  <c:v>137.66666666666666</c:v>
                </c:pt>
                <c:pt idx="36">
                  <c:v>118.66666666666667</c:v>
                </c:pt>
                <c:pt idx="37">
                  <c:v>148.66666666666666</c:v>
                </c:pt>
                <c:pt idx="38">
                  <c:v>152.33333333333334</c:v>
                </c:pt>
                <c:pt idx="39">
                  <c:v>138.66666666666666</c:v>
                </c:pt>
                <c:pt idx="40">
                  <c:v>82.666666666666671</c:v>
                </c:pt>
                <c:pt idx="41">
                  <c:v>58.666666666666664</c:v>
                </c:pt>
                <c:pt idx="42">
                  <c:v>66.666666666666671</c:v>
                </c:pt>
                <c:pt idx="43">
                  <c:v>115</c:v>
                </c:pt>
                <c:pt idx="44">
                  <c:v>174.33333333333334</c:v>
                </c:pt>
                <c:pt idx="45">
                  <c:v>222</c:v>
                </c:pt>
                <c:pt idx="46">
                  <c:v>185.66666666666666</c:v>
                </c:pt>
                <c:pt idx="47">
                  <c:v>160.33333333333334</c:v>
                </c:pt>
                <c:pt idx="48">
                  <c:v>123</c:v>
                </c:pt>
                <c:pt idx="49">
                  <c:v>119.66666666666667</c:v>
                </c:pt>
                <c:pt idx="50">
                  <c:v>107.33333333333333</c:v>
                </c:pt>
                <c:pt idx="51">
                  <c:v>98.666666666666671</c:v>
                </c:pt>
                <c:pt idx="52">
                  <c:v>99.666666666666671</c:v>
                </c:pt>
                <c:pt idx="53">
                  <c:v>89.333333333333329</c:v>
                </c:pt>
                <c:pt idx="54">
                  <c:v>112</c:v>
                </c:pt>
                <c:pt idx="55">
                  <c:v>109</c:v>
                </c:pt>
                <c:pt idx="56">
                  <c:v>149.33333333333334</c:v>
                </c:pt>
                <c:pt idx="57">
                  <c:v>171.66666666666666</c:v>
                </c:pt>
                <c:pt idx="58">
                  <c:v>203.66666666666666</c:v>
                </c:pt>
                <c:pt idx="59">
                  <c:v>177.33333333333334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8-43A5-956B-109C1F13C946}"/>
            </c:ext>
          </c:extLst>
        </c:ser>
        <c:ser>
          <c:idx val="4"/>
          <c:order val="4"/>
          <c:tx>
            <c:strRef>
              <c:f>Data!$I$1</c:f>
              <c:strCache>
                <c:ptCount val="1"/>
                <c:pt idx="0">
                  <c:v>Holt's Trend Method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Data!$I$2:$I$61</c:f>
              <c:numCache>
                <c:formatCode>General</c:formatCode>
                <c:ptCount val="60"/>
                <c:pt idx="1">
                  <c:v>214</c:v>
                </c:pt>
                <c:pt idx="2">
                  <c:v>388</c:v>
                </c:pt>
                <c:pt idx="3">
                  <c:v>443.92000000000007</c:v>
                </c:pt>
                <c:pt idx="4">
                  <c:v>455.30880000000013</c:v>
                </c:pt>
                <c:pt idx="5">
                  <c:v>387.37043200000016</c:v>
                </c:pt>
                <c:pt idx="6">
                  <c:v>271.00046848000011</c:v>
                </c:pt>
                <c:pt idx="7">
                  <c:v>223.46442270720013</c:v>
                </c:pt>
                <c:pt idx="8">
                  <c:v>133.3612784558081</c:v>
                </c:pt>
                <c:pt idx="9">
                  <c:v>78.380958501765221</c:v>
                </c:pt>
                <c:pt idx="10">
                  <c:v>72.575749178248472</c:v>
                </c:pt>
                <c:pt idx="11">
                  <c:v>60.319461850915317</c:v>
                </c:pt>
                <c:pt idx="12">
                  <c:v>60.383318092902343</c:v>
                </c:pt>
                <c:pt idx="13">
                  <c:v>45.61307219162758</c:v>
                </c:pt>
                <c:pt idx="14">
                  <c:v>96.778783919947386</c:v>
                </c:pt>
                <c:pt idx="15">
                  <c:v>94.986747875411638</c:v>
                </c:pt>
                <c:pt idx="16">
                  <c:v>112.43523937971719</c:v>
                </c:pt>
                <c:pt idx="17">
                  <c:v>119.08439428240686</c:v>
                </c:pt>
                <c:pt idx="18">
                  <c:v>130.39021511937352</c:v>
                </c:pt>
                <c:pt idx="19">
                  <c:v>152.45243736984708</c:v>
                </c:pt>
                <c:pt idx="20">
                  <c:v>241.6298251910504</c:v>
                </c:pt>
                <c:pt idx="21">
                  <c:v>250.79096341744503</c:v>
                </c:pt>
                <c:pt idx="22">
                  <c:v>249.35331985176947</c:v>
                </c:pt>
                <c:pt idx="23">
                  <c:v>232.62667382294595</c:v>
                </c:pt>
                <c:pt idx="24">
                  <c:v>168.98508918821574</c:v>
                </c:pt>
                <c:pt idx="25">
                  <c:v>131.23420721031704</c:v>
                </c:pt>
                <c:pt idx="26">
                  <c:v>89.836028474347373</c:v>
                </c:pt>
                <c:pt idx="27">
                  <c:v>74.263720929676055</c:v>
                </c:pt>
                <c:pt idx="28">
                  <c:v>52.203679545190852</c:v>
                </c:pt>
                <c:pt idx="29">
                  <c:v>38.483057710372151</c:v>
                </c:pt>
                <c:pt idx="30">
                  <c:v>32.469271008857646</c:v>
                </c:pt>
                <c:pt idx="31">
                  <c:v>39.103158286228819</c:v>
                </c:pt>
                <c:pt idx="32">
                  <c:v>75.793762782329154</c:v>
                </c:pt>
                <c:pt idx="33">
                  <c:v>112.61924433403675</c:v>
                </c:pt>
                <c:pt idx="34">
                  <c:v>149.34055048195697</c:v>
                </c:pt>
                <c:pt idx="35">
                  <c:v>170.22310732317999</c:v>
                </c:pt>
                <c:pt idx="36">
                  <c:v>164.57345562444965</c:v>
                </c:pt>
                <c:pt idx="37">
                  <c:v>202.80198136555344</c:v>
                </c:pt>
                <c:pt idx="38">
                  <c:v>202.29648493994796</c:v>
                </c:pt>
                <c:pt idx="39">
                  <c:v>157.44465020907191</c:v>
                </c:pt>
                <c:pt idx="40">
                  <c:v>113.17203839091957</c:v>
                </c:pt>
                <c:pt idx="41">
                  <c:v>68.686422793850568</c:v>
                </c:pt>
                <c:pt idx="42">
                  <c:v>33.068102669179275</c:v>
                </c:pt>
                <c:pt idx="43">
                  <c:v>63.482550142373569</c:v>
                </c:pt>
                <c:pt idx="44">
                  <c:v>121.77690009814923</c:v>
                </c:pt>
                <c:pt idx="45">
                  <c:v>175.7680760470659</c:v>
                </c:pt>
                <c:pt idx="46">
                  <c:v>187.19812463866873</c:v>
                </c:pt>
                <c:pt idx="47">
                  <c:v>204.95046356976394</c:v>
                </c:pt>
                <c:pt idx="48">
                  <c:v>188.08026054347792</c:v>
                </c:pt>
                <c:pt idx="49">
                  <c:v>159.6512564354926</c:v>
                </c:pt>
                <c:pt idx="50">
                  <c:v>138.60385211942557</c:v>
                </c:pt>
                <c:pt idx="51">
                  <c:v>99.349312327463849</c:v>
                </c:pt>
                <c:pt idx="52">
                  <c:v>73.489790521500268</c:v>
                </c:pt>
                <c:pt idx="53">
                  <c:v>56.523806593289365</c:v>
                </c:pt>
                <c:pt idx="54">
                  <c:v>64.347210395794349</c:v>
                </c:pt>
                <c:pt idx="55">
                  <c:v>64.910379774471252</c:v>
                </c:pt>
                <c:pt idx="56">
                  <c:v>115.81525451349738</c:v>
                </c:pt>
                <c:pt idx="57">
                  <c:v>168.36871358255871</c:v>
                </c:pt>
                <c:pt idx="58">
                  <c:v>209.23248666459844</c:v>
                </c:pt>
                <c:pt idx="59">
                  <c:v>221.64630726389444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8-43A5-956B-109C1F13C946}"/>
            </c:ext>
          </c:extLst>
        </c:ser>
        <c:ser>
          <c:idx val="3"/>
          <c:order val="5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E8-43A5-956B-109C1F13C946}"/>
            </c:ext>
          </c:extLst>
        </c:ser>
        <c:ser>
          <c:idx val="6"/>
          <c:order val="6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E8-43A5-956B-109C1F13C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697503"/>
        <c:axId val="1111391311"/>
      </c:lineChart>
      <c:catAx>
        <c:axId val="10396975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391311"/>
        <c:crosses val="autoZero"/>
        <c:auto val="1"/>
        <c:lblAlgn val="ctr"/>
        <c:lblOffset val="100"/>
        <c:noMultiLvlLbl val="0"/>
      </c:catAx>
      <c:valAx>
        <c:axId val="11113913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697503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legend>
      <c:legendPos val="t"/>
      <c:layout>
        <c:manualLayout>
          <c:xMode val="edge"/>
          <c:yMode val="edge"/>
          <c:x val="7.5472868127865037E-2"/>
          <c:y val="0.10590759075907592"/>
          <c:w val="0.60959834566133775"/>
          <c:h val="0.14930664916885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12MA_vs_ES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881260914655896E-2"/>
          <c:y val="3.667286380869058E-2"/>
          <c:w val="0.95178116322416217"/>
          <c:h val="0.86742636337124523"/>
        </c:manualLayout>
      </c:layout>
      <c:lineChart>
        <c:grouping val="stacked"/>
        <c:varyColors val="0"/>
        <c:ser>
          <c:idx val="1"/>
          <c:order val="0"/>
          <c:tx>
            <c:strRef>
              <c:f>Data!$P$1</c:f>
              <c:strCache>
                <c:ptCount val="1"/>
                <c:pt idx="0">
                  <c:v>12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Data!$P$2:$P$61</c:f>
              <c:numCache>
                <c:formatCode>General</c:formatCode>
                <c:ptCount val="60"/>
                <c:pt idx="12">
                  <c:v>132.58333333333334</c:v>
                </c:pt>
                <c:pt idx="13">
                  <c:v>134.16666666666666</c:v>
                </c:pt>
                <c:pt idx="14">
                  <c:v>135.33333333333334</c:v>
                </c:pt>
                <c:pt idx="15">
                  <c:v>134.58333333333334</c:v>
                </c:pt>
                <c:pt idx="16">
                  <c:v>133.33333333333334</c:v>
                </c:pt>
                <c:pt idx="17">
                  <c:v>136.08333333333334</c:v>
                </c:pt>
                <c:pt idx="18">
                  <c:v>143.41666666666666</c:v>
                </c:pt>
                <c:pt idx="19">
                  <c:v>134.75</c:v>
                </c:pt>
                <c:pt idx="20">
                  <c:v>155.91666666666666</c:v>
                </c:pt>
                <c:pt idx="21">
                  <c:v>153.33333333333334</c:v>
                </c:pt>
                <c:pt idx="22">
                  <c:v>147.41666666666666</c:v>
                </c:pt>
                <c:pt idx="23">
                  <c:v>148.83333333333334</c:v>
                </c:pt>
                <c:pt idx="24">
                  <c:v>142.08333333333334</c:v>
                </c:pt>
                <c:pt idx="25">
                  <c:v>148.83333333333334</c:v>
                </c:pt>
                <c:pt idx="26">
                  <c:v>138.58333333333334</c:v>
                </c:pt>
                <c:pt idx="27">
                  <c:v>146.58333333333334</c:v>
                </c:pt>
                <c:pt idx="28">
                  <c:v>143.66666666666666</c:v>
                </c:pt>
                <c:pt idx="29">
                  <c:v>142.41666666666666</c:v>
                </c:pt>
                <c:pt idx="30">
                  <c:v>138.5</c:v>
                </c:pt>
                <c:pt idx="31">
                  <c:v>132.33333333333334</c:v>
                </c:pt>
                <c:pt idx="32">
                  <c:v>115.41666666666667</c:v>
                </c:pt>
                <c:pt idx="33">
                  <c:v>116</c:v>
                </c:pt>
                <c:pt idx="34">
                  <c:v>114.91666666666667</c:v>
                </c:pt>
                <c:pt idx="35">
                  <c:v>112.25</c:v>
                </c:pt>
                <c:pt idx="36">
                  <c:v>114.91666666666667</c:v>
                </c:pt>
                <c:pt idx="37">
                  <c:v>123.08333333333333</c:v>
                </c:pt>
                <c:pt idx="38">
                  <c:v>125.66666666666667</c:v>
                </c:pt>
                <c:pt idx="39">
                  <c:v>116.91666666666667</c:v>
                </c:pt>
                <c:pt idx="40">
                  <c:v>115.41666666666667</c:v>
                </c:pt>
                <c:pt idx="41">
                  <c:v>113.83333333333333</c:v>
                </c:pt>
                <c:pt idx="42">
                  <c:v>112.91666666666667</c:v>
                </c:pt>
                <c:pt idx="43">
                  <c:v>123.41666666666667</c:v>
                </c:pt>
                <c:pt idx="44">
                  <c:v>130.75</c:v>
                </c:pt>
                <c:pt idx="45">
                  <c:v>136.5</c:v>
                </c:pt>
                <c:pt idx="46">
                  <c:v>133</c:v>
                </c:pt>
                <c:pt idx="47">
                  <c:v>136.41666666666666</c:v>
                </c:pt>
                <c:pt idx="48">
                  <c:v>137.58333333333334</c:v>
                </c:pt>
                <c:pt idx="49">
                  <c:v>125.75</c:v>
                </c:pt>
                <c:pt idx="50">
                  <c:v>125.16666666666667</c:v>
                </c:pt>
                <c:pt idx="51">
                  <c:v>127.58333333333333</c:v>
                </c:pt>
                <c:pt idx="52">
                  <c:v>130</c:v>
                </c:pt>
                <c:pt idx="53">
                  <c:v>132.83333333333334</c:v>
                </c:pt>
                <c:pt idx="54">
                  <c:v>138.91666666666666</c:v>
                </c:pt>
                <c:pt idx="55">
                  <c:v>128.5</c:v>
                </c:pt>
                <c:pt idx="56">
                  <c:v>126.58333333333333</c:v>
                </c:pt>
                <c:pt idx="57">
                  <c:v>126.33333333333333</c:v>
                </c:pt>
                <c:pt idx="58">
                  <c:v>133</c:v>
                </c:pt>
                <c:pt idx="59">
                  <c:v>130.83333333333334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3-4E56-A7BF-9E8CB5B2DB29}"/>
            </c:ext>
          </c:extLst>
        </c:ser>
        <c:ser>
          <c:idx val="2"/>
          <c:order val="1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3-4E56-A7BF-9E8CB5B2DB29}"/>
            </c:ext>
          </c:extLst>
        </c:ser>
        <c:ser>
          <c:idx val="0"/>
          <c:order val="2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F3-4E56-A7BF-9E8CB5B2D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686048"/>
        <c:axId val="1631642192"/>
      </c:lineChart>
      <c:catAx>
        <c:axId val="1619686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642192"/>
        <c:crosses val="autoZero"/>
        <c:auto val="1"/>
        <c:lblAlgn val="ctr"/>
        <c:lblOffset val="100"/>
        <c:noMultiLvlLbl val="0"/>
      </c:catAx>
      <c:valAx>
        <c:axId val="1631642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686048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legend>
      <c:legendPos val="r"/>
      <c:layout>
        <c:manualLayout>
          <c:xMode val="edge"/>
          <c:yMode val="edge"/>
          <c:x val="0.77329764177205118"/>
          <c:y val="3.9616506270049576E-2"/>
          <c:w val="0.16806629284975738"/>
          <c:h val="0.309447360746573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12MA_vs_ES_vs_HT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493837726805887E-2"/>
          <c:y val="4.565616797900262E-2"/>
          <c:w val="0.95025885351287609"/>
          <c:h val="0.85490485564304464"/>
        </c:manualLayout>
      </c:layout>
      <c:lineChart>
        <c:grouping val="stacked"/>
        <c:varyColors val="0"/>
        <c:ser>
          <c:idx val="1"/>
          <c:order val="0"/>
          <c:tx>
            <c:strRef>
              <c:f>Data!$P$1</c:f>
              <c:strCache>
                <c:ptCount val="1"/>
                <c:pt idx="0">
                  <c:v>12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Data!$P$2:$P$61</c:f>
              <c:numCache>
                <c:formatCode>General</c:formatCode>
                <c:ptCount val="60"/>
                <c:pt idx="12">
                  <c:v>132.58333333333334</c:v>
                </c:pt>
                <c:pt idx="13">
                  <c:v>134.16666666666666</c:v>
                </c:pt>
                <c:pt idx="14">
                  <c:v>135.33333333333334</c:v>
                </c:pt>
                <c:pt idx="15">
                  <c:v>134.58333333333334</c:v>
                </c:pt>
                <c:pt idx="16">
                  <c:v>133.33333333333334</c:v>
                </c:pt>
                <c:pt idx="17">
                  <c:v>136.08333333333334</c:v>
                </c:pt>
                <c:pt idx="18">
                  <c:v>143.41666666666666</c:v>
                </c:pt>
                <c:pt idx="19">
                  <c:v>134.75</c:v>
                </c:pt>
                <c:pt idx="20">
                  <c:v>155.91666666666666</c:v>
                </c:pt>
                <c:pt idx="21">
                  <c:v>153.33333333333334</c:v>
                </c:pt>
                <c:pt idx="22">
                  <c:v>147.41666666666666</c:v>
                </c:pt>
                <c:pt idx="23">
                  <c:v>148.83333333333334</c:v>
                </c:pt>
                <c:pt idx="24">
                  <c:v>142.08333333333334</c:v>
                </c:pt>
                <c:pt idx="25">
                  <c:v>148.83333333333334</c:v>
                </c:pt>
                <c:pt idx="26">
                  <c:v>138.58333333333334</c:v>
                </c:pt>
                <c:pt idx="27">
                  <c:v>146.58333333333334</c:v>
                </c:pt>
                <c:pt idx="28">
                  <c:v>143.66666666666666</c:v>
                </c:pt>
                <c:pt idx="29">
                  <c:v>142.41666666666666</c:v>
                </c:pt>
                <c:pt idx="30">
                  <c:v>138.5</c:v>
                </c:pt>
                <c:pt idx="31">
                  <c:v>132.33333333333334</c:v>
                </c:pt>
                <c:pt idx="32">
                  <c:v>115.41666666666667</c:v>
                </c:pt>
                <c:pt idx="33">
                  <c:v>116</c:v>
                </c:pt>
                <c:pt idx="34">
                  <c:v>114.91666666666667</c:v>
                </c:pt>
                <c:pt idx="35">
                  <c:v>112.25</c:v>
                </c:pt>
                <c:pt idx="36">
                  <c:v>114.91666666666667</c:v>
                </c:pt>
                <c:pt idx="37">
                  <c:v>123.08333333333333</c:v>
                </c:pt>
                <c:pt idx="38">
                  <c:v>125.66666666666667</c:v>
                </c:pt>
                <c:pt idx="39">
                  <c:v>116.91666666666667</c:v>
                </c:pt>
                <c:pt idx="40">
                  <c:v>115.41666666666667</c:v>
                </c:pt>
                <c:pt idx="41">
                  <c:v>113.83333333333333</c:v>
                </c:pt>
                <c:pt idx="42">
                  <c:v>112.91666666666667</c:v>
                </c:pt>
                <c:pt idx="43">
                  <c:v>123.41666666666667</c:v>
                </c:pt>
                <c:pt idx="44">
                  <c:v>130.75</c:v>
                </c:pt>
                <c:pt idx="45">
                  <c:v>136.5</c:v>
                </c:pt>
                <c:pt idx="46">
                  <c:v>133</c:v>
                </c:pt>
                <c:pt idx="47">
                  <c:v>136.41666666666666</c:v>
                </c:pt>
                <c:pt idx="48">
                  <c:v>137.58333333333334</c:v>
                </c:pt>
                <c:pt idx="49">
                  <c:v>125.75</c:v>
                </c:pt>
                <c:pt idx="50">
                  <c:v>125.16666666666667</c:v>
                </c:pt>
                <c:pt idx="51">
                  <c:v>127.58333333333333</c:v>
                </c:pt>
                <c:pt idx="52">
                  <c:v>130</c:v>
                </c:pt>
                <c:pt idx="53">
                  <c:v>132.83333333333334</c:v>
                </c:pt>
                <c:pt idx="54">
                  <c:v>138.91666666666666</c:v>
                </c:pt>
                <c:pt idx="55">
                  <c:v>128.5</c:v>
                </c:pt>
                <c:pt idx="56">
                  <c:v>126.58333333333333</c:v>
                </c:pt>
                <c:pt idx="57">
                  <c:v>126.33333333333333</c:v>
                </c:pt>
                <c:pt idx="58">
                  <c:v>133</c:v>
                </c:pt>
                <c:pt idx="59">
                  <c:v>130.83333333333334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B6-44D7-B494-16AA82231DED}"/>
            </c:ext>
          </c:extLst>
        </c:ser>
        <c:ser>
          <c:idx val="2"/>
          <c:order val="1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B6-44D7-B494-16AA82231DED}"/>
            </c:ext>
          </c:extLst>
        </c:ser>
        <c:ser>
          <c:idx val="3"/>
          <c:order val="2"/>
          <c:tx>
            <c:strRef>
              <c:f>Data!$I$1</c:f>
              <c:strCache>
                <c:ptCount val="1"/>
                <c:pt idx="0">
                  <c:v>Holt's Trend Method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Data!$I$2:$I$61</c:f>
              <c:numCache>
                <c:formatCode>General</c:formatCode>
                <c:ptCount val="60"/>
                <c:pt idx="1">
                  <c:v>214</c:v>
                </c:pt>
                <c:pt idx="2">
                  <c:v>388</c:v>
                </c:pt>
                <c:pt idx="3">
                  <c:v>443.92000000000007</c:v>
                </c:pt>
                <c:pt idx="4">
                  <c:v>455.30880000000013</c:v>
                </c:pt>
                <c:pt idx="5">
                  <c:v>387.37043200000016</c:v>
                </c:pt>
                <c:pt idx="6">
                  <c:v>271.00046848000011</c:v>
                </c:pt>
                <c:pt idx="7">
                  <c:v>223.46442270720013</c:v>
                </c:pt>
                <c:pt idx="8">
                  <c:v>133.3612784558081</c:v>
                </c:pt>
                <c:pt idx="9">
                  <c:v>78.380958501765221</c:v>
                </c:pt>
                <c:pt idx="10">
                  <c:v>72.575749178248472</c:v>
                </c:pt>
                <c:pt idx="11">
                  <c:v>60.319461850915317</c:v>
                </c:pt>
                <c:pt idx="12">
                  <c:v>60.383318092902343</c:v>
                </c:pt>
                <c:pt idx="13">
                  <c:v>45.61307219162758</c:v>
                </c:pt>
                <c:pt idx="14">
                  <c:v>96.778783919947386</c:v>
                </c:pt>
                <c:pt idx="15">
                  <c:v>94.986747875411638</c:v>
                </c:pt>
                <c:pt idx="16">
                  <c:v>112.43523937971719</c:v>
                </c:pt>
                <c:pt idx="17">
                  <c:v>119.08439428240686</c:v>
                </c:pt>
                <c:pt idx="18">
                  <c:v>130.39021511937352</c:v>
                </c:pt>
                <c:pt idx="19">
                  <c:v>152.45243736984708</c:v>
                </c:pt>
                <c:pt idx="20">
                  <c:v>241.6298251910504</c:v>
                </c:pt>
                <c:pt idx="21">
                  <c:v>250.79096341744503</c:v>
                </c:pt>
                <c:pt idx="22">
                  <c:v>249.35331985176947</c:v>
                </c:pt>
                <c:pt idx="23">
                  <c:v>232.62667382294595</c:v>
                </c:pt>
                <c:pt idx="24">
                  <c:v>168.98508918821574</c:v>
                </c:pt>
                <c:pt idx="25">
                  <c:v>131.23420721031704</c:v>
                </c:pt>
                <c:pt idx="26">
                  <c:v>89.836028474347373</c:v>
                </c:pt>
                <c:pt idx="27">
                  <c:v>74.263720929676055</c:v>
                </c:pt>
                <c:pt idx="28">
                  <c:v>52.203679545190852</c:v>
                </c:pt>
                <c:pt idx="29">
                  <c:v>38.483057710372151</c:v>
                </c:pt>
                <c:pt idx="30">
                  <c:v>32.469271008857646</c:v>
                </c:pt>
                <c:pt idx="31">
                  <c:v>39.103158286228819</c:v>
                </c:pt>
                <c:pt idx="32">
                  <c:v>75.793762782329154</c:v>
                </c:pt>
                <c:pt idx="33">
                  <c:v>112.61924433403675</c:v>
                </c:pt>
                <c:pt idx="34">
                  <c:v>149.34055048195697</c:v>
                </c:pt>
                <c:pt idx="35">
                  <c:v>170.22310732317999</c:v>
                </c:pt>
                <c:pt idx="36">
                  <c:v>164.57345562444965</c:v>
                </c:pt>
                <c:pt idx="37">
                  <c:v>202.80198136555344</c:v>
                </c:pt>
                <c:pt idx="38">
                  <c:v>202.29648493994796</c:v>
                </c:pt>
                <c:pt idx="39">
                  <c:v>157.44465020907191</c:v>
                </c:pt>
                <c:pt idx="40">
                  <c:v>113.17203839091957</c:v>
                </c:pt>
                <c:pt idx="41">
                  <c:v>68.686422793850568</c:v>
                </c:pt>
                <c:pt idx="42">
                  <c:v>33.068102669179275</c:v>
                </c:pt>
                <c:pt idx="43">
                  <c:v>63.482550142373569</c:v>
                </c:pt>
                <c:pt idx="44">
                  <c:v>121.77690009814923</c:v>
                </c:pt>
                <c:pt idx="45">
                  <c:v>175.7680760470659</c:v>
                </c:pt>
                <c:pt idx="46">
                  <c:v>187.19812463866873</c:v>
                </c:pt>
                <c:pt idx="47">
                  <c:v>204.95046356976394</c:v>
                </c:pt>
                <c:pt idx="48">
                  <c:v>188.08026054347792</c:v>
                </c:pt>
                <c:pt idx="49">
                  <c:v>159.6512564354926</c:v>
                </c:pt>
                <c:pt idx="50">
                  <c:v>138.60385211942557</c:v>
                </c:pt>
                <c:pt idx="51">
                  <c:v>99.349312327463849</c:v>
                </c:pt>
                <c:pt idx="52">
                  <c:v>73.489790521500268</c:v>
                </c:pt>
                <c:pt idx="53">
                  <c:v>56.523806593289365</c:v>
                </c:pt>
                <c:pt idx="54">
                  <c:v>64.347210395794349</c:v>
                </c:pt>
                <c:pt idx="55">
                  <c:v>64.910379774471252</c:v>
                </c:pt>
                <c:pt idx="56">
                  <c:v>115.81525451349738</c:v>
                </c:pt>
                <c:pt idx="57">
                  <c:v>168.36871358255871</c:v>
                </c:pt>
                <c:pt idx="58">
                  <c:v>209.23248666459844</c:v>
                </c:pt>
                <c:pt idx="59">
                  <c:v>221.64630726389444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B6-44D7-B494-16AA82231DED}"/>
            </c:ext>
          </c:extLst>
        </c:ser>
        <c:ser>
          <c:idx val="0"/>
          <c:order val="3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B6-44D7-B494-16AA82231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1760784"/>
        <c:axId val="1981104624"/>
      </c:lineChart>
      <c:catAx>
        <c:axId val="1981760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104624"/>
        <c:crosses val="autoZero"/>
        <c:auto val="1"/>
        <c:lblAlgn val="ctr"/>
        <c:lblOffset val="100"/>
        <c:noMultiLvlLbl val="0"/>
      </c:catAx>
      <c:valAx>
        <c:axId val="1981104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76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311588464957564"/>
          <c:y val="2.8127984001999749E-2"/>
          <c:w val="0.14720472440944882"/>
          <c:h val="0.31250218722659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12MA_vs_ES_vs_WS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56110920917494E-2"/>
          <c:y val="3.5685331000291629E-2"/>
          <c:w val="0.9449980029670203"/>
          <c:h val="0.85664916885389331"/>
        </c:manualLayout>
      </c:layout>
      <c:lineChart>
        <c:grouping val="stacked"/>
        <c:varyColors val="0"/>
        <c:ser>
          <c:idx val="1"/>
          <c:order val="0"/>
          <c:tx>
            <c:strRef>
              <c:f>Data!$P$1</c:f>
              <c:strCache>
                <c:ptCount val="1"/>
                <c:pt idx="0">
                  <c:v>12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Data!$P$2:$P$61</c:f>
              <c:numCache>
                <c:formatCode>General</c:formatCode>
                <c:ptCount val="60"/>
                <c:pt idx="12">
                  <c:v>132.58333333333334</c:v>
                </c:pt>
                <c:pt idx="13">
                  <c:v>134.16666666666666</c:v>
                </c:pt>
                <c:pt idx="14">
                  <c:v>135.33333333333334</c:v>
                </c:pt>
                <c:pt idx="15">
                  <c:v>134.58333333333334</c:v>
                </c:pt>
                <c:pt idx="16">
                  <c:v>133.33333333333334</c:v>
                </c:pt>
                <c:pt idx="17">
                  <c:v>136.08333333333334</c:v>
                </c:pt>
                <c:pt idx="18">
                  <c:v>143.41666666666666</c:v>
                </c:pt>
                <c:pt idx="19">
                  <c:v>134.75</c:v>
                </c:pt>
                <c:pt idx="20">
                  <c:v>155.91666666666666</c:v>
                </c:pt>
                <c:pt idx="21">
                  <c:v>153.33333333333334</c:v>
                </c:pt>
                <c:pt idx="22">
                  <c:v>147.41666666666666</c:v>
                </c:pt>
                <c:pt idx="23">
                  <c:v>148.83333333333334</c:v>
                </c:pt>
                <c:pt idx="24">
                  <c:v>142.08333333333334</c:v>
                </c:pt>
                <c:pt idx="25">
                  <c:v>148.83333333333334</c:v>
                </c:pt>
                <c:pt idx="26">
                  <c:v>138.58333333333334</c:v>
                </c:pt>
                <c:pt idx="27">
                  <c:v>146.58333333333334</c:v>
                </c:pt>
                <c:pt idx="28">
                  <c:v>143.66666666666666</c:v>
                </c:pt>
                <c:pt idx="29">
                  <c:v>142.41666666666666</c:v>
                </c:pt>
                <c:pt idx="30">
                  <c:v>138.5</c:v>
                </c:pt>
                <c:pt idx="31">
                  <c:v>132.33333333333334</c:v>
                </c:pt>
                <c:pt idx="32">
                  <c:v>115.41666666666667</c:v>
                </c:pt>
                <c:pt idx="33">
                  <c:v>116</c:v>
                </c:pt>
                <c:pt idx="34">
                  <c:v>114.91666666666667</c:v>
                </c:pt>
                <c:pt idx="35">
                  <c:v>112.25</c:v>
                </c:pt>
                <c:pt idx="36">
                  <c:v>114.91666666666667</c:v>
                </c:pt>
                <c:pt idx="37">
                  <c:v>123.08333333333333</c:v>
                </c:pt>
                <c:pt idx="38">
                  <c:v>125.66666666666667</c:v>
                </c:pt>
                <c:pt idx="39">
                  <c:v>116.91666666666667</c:v>
                </c:pt>
                <c:pt idx="40">
                  <c:v>115.41666666666667</c:v>
                </c:pt>
                <c:pt idx="41">
                  <c:v>113.83333333333333</c:v>
                </c:pt>
                <c:pt idx="42">
                  <c:v>112.91666666666667</c:v>
                </c:pt>
                <c:pt idx="43">
                  <c:v>123.41666666666667</c:v>
                </c:pt>
                <c:pt idx="44">
                  <c:v>130.75</c:v>
                </c:pt>
                <c:pt idx="45">
                  <c:v>136.5</c:v>
                </c:pt>
                <c:pt idx="46">
                  <c:v>133</c:v>
                </c:pt>
                <c:pt idx="47">
                  <c:v>136.41666666666666</c:v>
                </c:pt>
                <c:pt idx="48">
                  <c:v>137.58333333333334</c:v>
                </c:pt>
                <c:pt idx="49">
                  <c:v>125.75</c:v>
                </c:pt>
                <c:pt idx="50">
                  <c:v>125.16666666666667</c:v>
                </c:pt>
                <c:pt idx="51">
                  <c:v>127.58333333333333</c:v>
                </c:pt>
                <c:pt idx="52">
                  <c:v>130</c:v>
                </c:pt>
                <c:pt idx="53">
                  <c:v>132.83333333333334</c:v>
                </c:pt>
                <c:pt idx="54">
                  <c:v>138.91666666666666</c:v>
                </c:pt>
                <c:pt idx="55">
                  <c:v>128.5</c:v>
                </c:pt>
                <c:pt idx="56">
                  <c:v>126.58333333333333</c:v>
                </c:pt>
                <c:pt idx="57">
                  <c:v>126.33333333333333</c:v>
                </c:pt>
                <c:pt idx="58">
                  <c:v>133</c:v>
                </c:pt>
                <c:pt idx="59">
                  <c:v>130.83333333333334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46-4547-84DA-207B75A784A1}"/>
            </c:ext>
          </c:extLst>
        </c:ser>
        <c:ser>
          <c:idx val="3"/>
          <c:order val="1"/>
          <c:tx>
            <c:strRef>
              <c:f>Data!$M$1</c:f>
              <c:strCache>
                <c:ptCount val="1"/>
                <c:pt idx="0">
                  <c:v>Winter's Seasonal Method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Data!$M$2:$M$61</c:f>
              <c:numCache>
                <c:formatCode>General</c:formatCode>
                <c:ptCount val="60"/>
                <c:pt idx="13">
                  <c:v>417.3</c:v>
                </c:pt>
                <c:pt idx="14">
                  <c:v>126.39308411214954</c:v>
                </c:pt>
                <c:pt idx="15">
                  <c:v>274.29710579439256</c:v>
                </c:pt>
                <c:pt idx="16">
                  <c:v>112.15042476716788</c:v>
                </c:pt>
                <c:pt idx="17">
                  <c:v>57.744781131760611</c:v>
                </c:pt>
                <c:pt idx="18">
                  <c:v>584.39470223879596</c:v>
                </c:pt>
                <c:pt idx="19">
                  <c:v>189.23258124789311</c:v>
                </c:pt>
                <c:pt idx="20">
                  <c:v>391.58245121361063</c:v>
                </c:pt>
                <c:pt idx="21">
                  <c:v>474.39458061998891</c:v>
                </c:pt>
                <c:pt idx="22">
                  <c:v>214.33343366702189</c:v>
                </c:pt>
                <c:pt idx="23">
                  <c:v>150.4589962810667</c:v>
                </c:pt>
                <c:pt idx="24">
                  <c:v>22.375270456483559</c:v>
                </c:pt>
                <c:pt idx="25">
                  <c:v>162.94409512512473</c:v>
                </c:pt>
                <c:pt idx="26">
                  <c:v>33.103420471512784</c:v>
                </c:pt>
                <c:pt idx="27">
                  <c:v>182.12173427929835</c:v>
                </c:pt>
                <c:pt idx="28">
                  <c:v>147.72347223009459</c:v>
                </c:pt>
                <c:pt idx="29">
                  <c:v>149.25466667447557</c:v>
                </c:pt>
                <c:pt idx="30">
                  <c:v>235.31989840017542</c:v>
                </c:pt>
                <c:pt idx="31">
                  <c:v>276.42402502526863</c:v>
                </c:pt>
                <c:pt idx="32">
                  <c:v>92.024538177926729</c:v>
                </c:pt>
                <c:pt idx="33">
                  <c:v>118.33386556591272</c:v>
                </c:pt>
                <c:pt idx="34">
                  <c:v>110.26126955421302</c:v>
                </c:pt>
                <c:pt idx="35">
                  <c:v>50.064783376480719</c:v>
                </c:pt>
                <c:pt idx="36">
                  <c:v>98.284239591801025</c:v>
                </c:pt>
                <c:pt idx="37">
                  <c:v>121.06136521105988</c:v>
                </c:pt>
                <c:pt idx="38">
                  <c:v>104.863595304011</c:v>
                </c:pt>
                <c:pt idx="39">
                  <c:v>54.427391383423469</c:v>
                </c:pt>
                <c:pt idx="40">
                  <c:v>51.837935458852677</c:v>
                </c:pt>
                <c:pt idx="41">
                  <c:v>55.980982827180078</c:v>
                </c:pt>
                <c:pt idx="42">
                  <c:v>88.252106233891737</c:v>
                </c:pt>
                <c:pt idx="43">
                  <c:v>284.93107352049378</c:v>
                </c:pt>
                <c:pt idx="44">
                  <c:v>313.52398631898063</c:v>
                </c:pt>
                <c:pt idx="45">
                  <c:v>400.0371997540866</c:v>
                </c:pt>
                <c:pt idx="46">
                  <c:v>329.93299358669105</c:v>
                </c:pt>
                <c:pt idx="47">
                  <c:v>181.72983795298879</c:v>
                </c:pt>
                <c:pt idx="48">
                  <c:v>307.06193169901923</c:v>
                </c:pt>
                <c:pt idx="49">
                  <c:v>73.687053152076984</c:v>
                </c:pt>
                <c:pt idx="50">
                  <c:v>9.841814682685186</c:v>
                </c:pt>
                <c:pt idx="51">
                  <c:v>15.687091597309083</c:v>
                </c:pt>
                <c:pt idx="52">
                  <c:v>25.887712457550435</c:v>
                </c:pt>
                <c:pt idx="53">
                  <c:v>46.962119989524297</c:v>
                </c:pt>
                <c:pt idx="54">
                  <c:v>199.66336592090323</c:v>
                </c:pt>
                <c:pt idx="55">
                  <c:v>212.32148882797989</c:v>
                </c:pt>
                <c:pt idx="56">
                  <c:v>201.93655385706398</c:v>
                </c:pt>
                <c:pt idx="57">
                  <c:v>147.47223939312568</c:v>
                </c:pt>
                <c:pt idx="58">
                  <c:v>284.84547657980977</c:v>
                </c:pt>
                <c:pt idx="59">
                  <c:v>197.69161770648105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46-4547-84DA-207B75A784A1}"/>
            </c:ext>
          </c:extLst>
        </c:ser>
        <c:ser>
          <c:idx val="2"/>
          <c:order val="2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46-4547-84DA-207B75A784A1}"/>
            </c:ext>
          </c:extLst>
        </c:ser>
        <c:ser>
          <c:idx val="0"/>
          <c:order val="3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46-4547-84DA-207B75A78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1776624"/>
        <c:axId val="17609840"/>
      </c:lineChart>
      <c:catAx>
        <c:axId val="1981776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9840"/>
        <c:crosses val="autoZero"/>
        <c:auto val="1"/>
        <c:lblAlgn val="ctr"/>
        <c:lblOffset val="100"/>
        <c:noMultiLvlLbl val="0"/>
      </c:catAx>
      <c:valAx>
        <c:axId val="17609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77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197521870506327"/>
          <c:y val="2.2885095567433632E-2"/>
          <c:w val="0.14720472440944882"/>
          <c:h val="0.31250218722659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956639179565527E-2"/>
          <c:y val="3.5483351207822103E-2"/>
          <c:w val="0.94567851056321184"/>
          <c:h val="0.85632592860460166"/>
        </c:manualLayout>
      </c:layout>
      <c:lineChart>
        <c:grouping val="stacked"/>
        <c:varyColors val="0"/>
        <c:ser>
          <c:idx val="1"/>
          <c:order val="0"/>
          <c:tx>
            <c:strRef>
              <c:f>Data!$O$1</c:f>
              <c:strCache>
                <c:ptCount val="1"/>
                <c:pt idx="0">
                  <c:v>6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Data!$O$2:$O$61</c:f>
              <c:numCache>
                <c:formatCode>General</c:formatCode>
                <c:ptCount val="60"/>
                <c:pt idx="6">
                  <c:v>92.166666666666671</c:v>
                </c:pt>
                <c:pt idx="7">
                  <c:v>130</c:v>
                </c:pt>
                <c:pt idx="8">
                  <c:v>111.5</c:v>
                </c:pt>
                <c:pt idx="9">
                  <c:v>128.83333333333334</c:v>
                </c:pt>
                <c:pt idx="10">
                  <c:v>144.5</c:v>
                </c:pt>
                <c:pt idx="11">
                  <c:v>157</c:v>
                </c:pt>
                <c:pt idx="12">
                  <c:v>173</c:v>
                </c:pt>
                <c:pt idx="13">
                  <c:v>138.33333333333334</c:v>
                </c:pt>
                <c:pt idx="14">
                  <c:v>159.16666666666666</c:v>
                </c:pt>
                <c:pt idx="15">
                  <c:v>140.33333333333334</c:v>
                </c:pt>
                <c:pt idx="16">
                  <c:v>122.16666666666667</c:v>
                </c:pt>
                <c:pt idx="17">
                  <c:v>115.16666666666667</c:v>
                </c:pt>
                <c:pt idx="18">
                  <c:v>113.83333333333333</c:v>
                </c:pt>
                <c:pt idx="19">
                  <c:v>131.16666666666666</c:v>
                </c:pt>
                <c:pt idx="20">
                  <c:v>152.66666666666666</c:v>
                </c:pt>
                <c:pt idx="21">
                  <c:v>166.33333333333334</c:v>
                </c:pt>
                <c:pt idx="22">
                  <c:v>172.66666666666666</c:v>
                </c:pt>
                <c:pt idx="23">
                  <c:v>182.5</c:v>
                </c:pt>
                <c:pt idx="24">
                  <c:v>170.33333333333334</c:v>
                </c:pt>
                <c:pt idx="25">
                  <c:v>166.5</c:v>
                </c:pt>
                <c:pt idx="26">
                  <c:v>124.5</c:v>
                </c:pt>
                <c:pt idx="27">
                  <c:v>126.83333333333333</c:v>
                </c:pt>
                <c:pt idx="28">
                  <c:v>114.66666666666667</c:v>
                </c:pt>
                <c:pt idx="29">
                  <c:v>102.33333333333333</c:v>
                </c:pt>
                <c:pt idx="30">
                  <c:v>106.66666666666667</c:v>
                </c:pt>
                <c:pt idx="31">
                  <c:v>98.166666666666671</c:v>
                </c:pt>
                <c:pt idx="32">
                  <c:v>106.33333333333333</c:v>
                </c:pt>
                <c:pt idx="33">
                  <c:v>105.16666666666667</c:v>
                </c:pt>
                <c:pt idx="34">
                  <c:v>115.16666666666667</c:v>
                </c:pt>
                <c:pt idx="35">
                  <c:v>122.16666666666667</c:v>
                </c:pt>
                <c:pt idx="36">
                  <c:v>123.16666666666667</c:v>
                </c:pt>
                <c:pt idx="37">
                  <c:v>148</c:v>
                </c:pt>
                <c:pt idx="38">
                  <c:v>145</c:v>
                </c:pt>
                <c:pt idx="39">
                  <c:v>128.66666666666666</c:v>
                </c:pt>
                <c:pt idx="40">
                  <c:v>115.66666666666667</c:v>
                </c:pt>
                <c:pt idx="41">
                  <c:v>105.5</c:v>
                </c:pt>
                <c:pt idx="42">
                  <c:v>102.66666666666667</c:v>
                </c:pt>
                <c:pt idx="43">
                  <c:v>98.833333333333329</c:v>
                </c:pt>
                <c:pt idx="44">
                  <c:v>116.5</c:v>
                </c:pt>
                <c:pt idx="45">
                  <c:v>144.33333333333334</c:v>
                </c:pt>
                <c:pt idx="46">
                  <c:v>150.33333333333334</c:v>
                </c:pt>
                <c:pt idx="47">
                  <c:v>167.33333333333334</c:v>
                </c:pt>
                <c:pt idx="48">
                  <c:v>172.5</c:v>
                </c:pt>
                <c:pt idx="49">
                  <c:v>152.66666666666666</c:v>
                </c:pt>
                <c:pt idx="50">
                  <c:v>133.83333333333334</c:v>
                </c:pt>
                <c:pt idx="51">
                  <c:v>110.83333333333333</c:v>
                </c:pt>
                <c:pt idx="52">
                  <c:v>109.66666666666667</c:v>
                </c:pt>
                <c:pt idx="53">
                  <c:v>98.333333333333329</c:v>
                </c:pt>
                <c:pt idx="54">
                  <c:v>105.33333333333333</c:v>
                </c:pt>
                <c:pt idx="55">
                  <c:v>104.33333333333333</c:v>
                </c:pt>
                <c:pt idx="56">
                  <c:v>119.33333333333333</c:v>
                </c:pt>
                <c:pt idx="57">
                  <c:v>141.83333333333334</c:v>
                </c:pt>
                <c:pt idx="58">
                  <c:v>156.33333333333334</c:v>
                </c:pt>
                <c:pt idx="59">
                  <c:v>163.33333333333334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8-489E-AE66-852843F56568}"/>
            </c:ext>
          </c:extLst>
        </c:ser>
        <c:ser>
          <c:idx val="0"/>
          <c:order val="1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B8-489E-AE66-852843F56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5796191"/>
        <c:axId val="154007247"/>
      </c:lineChart>
      <c:catAx>
        <c:axId val="20457961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07247"/>
        <c:crosses val="autoZero"/>
        <c:auto val="1"/>
        <c:lblAlgn val="ctr"/>
        <c:lblOffset val="100"/>
        <c:noMultiLvlLbl val="0"/>
      </c:catAx>
      <c:valAx>
        <c:axId val="154007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796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449197330556254"/>
          <c:y val="7.2940672979970131E-2"/>
          <c:w val="0.16010835885097696"/>
          <c:h val="0.236402324709411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807980524173609E-2"/>
          <c:y val="4.6712962962962963E-2"/>
          <c:w val="0.93501302826277133"/>
          <c:h val="0.80885061242344702"/>
        </c:manualLayout>
      </c:layout>
      <c:lineChart>
        <c:grouping val="stacked"/>
        <c:varyColors val="0"/>
        <c:ser>
          <c:idx val="1"/>
          <c:order val="0"/>
          <c:tx>
            <c:strRef>
              <c:f>Data!$E$1</c:f>
              <c:strCache>
                <c:ptCount val="1"/>
                <c:pt idx="0">
                  <c:v>3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Data!$E$2:$E$61</c:f>
              <c:numCache>
                <c:formatCode>General</c:formatCode>
                <c:ptCount val="60"/>
                <c:pt idx="3">
                  <c:v>104.66666666666667</c:v>
                </c:pt>
                <c:pt idx="4">
                  <c:v>137.33333333333334</c:v>
                </c:pt>
                <c:pt idx="5">
                  <c:v>87.666666666666671</c:v>
                </c:pt>
                <c:pt idx="6">
                  <c:v>79.666666666666671</c:v>
                </c:pt>
                <c:pt idx="7">
                  <c:v>122.66666666666667</c:v>
                </c:pt>
                <c:pt idx="8">
                  <c:v>135.33333333333334</c:v>
                </c:pt>
                <c:pt idx="9">
                  <c:v>178</c:v>
                </c:pt>
                <c:pt idx="10">
                  <c:v>166.33333333333334</c:v>
                </c:pt>
                <c:pt idx="11">
                  <c:v>178.66666666666666</c:v>
                </c:pt>
                <c:pt idx="12">
                  <c:v>168</c:v>
                </c:pt>
                <c:pt idx="13">
                  <c:v>110.33333333333333</c:v>
                </c:pt>
                <c:pt idx="14">
                  <c:v>139.66666666666666</c:v>
                </c:pt>
                <c:pt idx="15">
                  <c:v>112.66666666666667</c:v>
                </c:pt>
                <c:pt idx="16">
                  <c:v>134</c:v>
                </c:pt>
                <c:pt idx="17">
                  <c:v>90.666666666666671</c:v>
                </c:pt>
                <c:pt idx="18">
                  <c:v>115</c:v>
                </c:pt>
                <c:pt idx="19">
                  <c:v>128.33333333333334</c:v>
                </c:pt>
                <c:pt idx="20">
                  <c:v>214.66666666666666</c:v>
                </c:pt>
                <c:pt idx="21">
                  <c:v>217.66666666666666</c:v>
                </c:pt>
                <c:pt idx="22">
                  <c:v>217</c:v>
                </c:pt>
                <c:pt idx="23">
                  <c:v>150.33333333333334</c:v>
                </c:pt>
                <c:pt idx="24">
                  <c:v>123</c:v>
                </c:pt>
                <c:pt idx="25">
                  <c:v>116</c:v>
                </c:pt>
                <c:pt idx="26">
                  <c:v>98.666666666666671</c:v>
                </c:pt>
                <c:pt idx="27">
                  <c:v>130.66666666666666</c:v>
                </c:pt>
                <c:pt idx="28">
                  <c:v>113.33333333333333</c:v>
                </c:pt>
                <c:pt idx="29">
                  <c:v>106</c:v>
                </c:pt>
                <c:pt idx="30">
                  <c:v>82.666666666666671</c:v>
                </c:pt>
                <c:pt idx="31">
                  <c:v>83</c:v>
                </c:pt>
                <c:pt idx="32">
                  <c:v>106.66666666666667</c:v>
                </c:pt>
                <c:pt idx="33">
                  <c:v>127.66666666666667</c:v>
                </c:pt>
                <c:pt idx="34">
                  <c:v>147.33333333333334</c:v>
                </c:pt>
                <c:pt idx="35">
                  <c:v>137.66666666666666</c:v>
                </c:pt>
                <c:pt idx="36">
                  <c:v>118.66666666666667</c:v>
                </c:pt>
                <c:pt idx="37">
                  <c:v>148.66666666666666</c:v>
                </c:pt>
                <c:pt idx="38">
                  <c:v>152.33333333333334</c:v>
                </c:pt>
                <c:pt idx="39">
                  <c:v>138.66666666666666</c:v>
                </c:pt>
                <c:pt idx="40">
                  <c:v>82.666666666666671</c:v>
                </c:pt>
                <c:pt idx="41">
                  <c:v>58.666666666666664</c:v>
                </c:pt>
                <c:pt idx="42">
                  <c:v>66.666666666666671</c:v>
                </c:pt>
                <c:pt idx="43">
                  <c:v>115</c:v>
                </c:pt>
                <c:pt idx="44">
                  <c:v>174.33333333333334</c:v>
                </c:pt>
                <c:pt idx="45">
                  <c:v>222</c:v>
                </c:pt>
                <c:pt idx="46">
                  <c:v>185.66666666666666</c:v>
                </c:pt>
                <c:pt idx="47">
                  <c:v>160.33333333333334</c:v>
                </c:pt>
                <c:pt idx="48">
                  <c:v>123</c:v>
                </c:pt>
                <c:pt idx="49">
                  <c:v>119.66666666666667</c:v>
                </c:pt>
                <c:pt idx="50">
                  <c:v>107.33333333333333</c:v>
                </c:pt>
                <c:pt idx="51">
                  <c:v>98.666666666666671</c:v>
                </c:pt>
                <c:pt idx="52">
                  <c:v>99.666666666666671</c:v>
                </c:pt>
                <c:pt idx="53">
                  <c:v>89.333333333333329</c:v>
                </c:pt>
                <c:pt idx="54">
                  <c:v>112</c:v>
                </c:pt>
                <c:pt idx="55">
                  <c:v>109</c:v>
                </c:pt>
                <c:pt idx="56">
                  <c:v>149.33333333333334</c:v>
                </c:pt>
                <c:pt idx="57">
                  <c:v>171.66666666666666</c:v>
                </c:pt>
                <c:pt idx="58">
                  <c:v>203.66666666666666</c:v>
                </c:pt>
                <c:pt idx="59">
                  <c:v>177.33333333333334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4B-487F-89CE-DF857DFD5B8B}"/>
            </c:ext>
          </c:extLst>
        </c:ser>
        <c:ser>
          <c:idx val="0"/>
          <c:order val="1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4B-487F-89CE-DF857DFD5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6128303"/>
        <c:axId val="154012703"/>
      </c:lineChart>
      <c:catAx>
        <c:axId val="226128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12703"/>
        <c:crosses val="autoZero"/>
        <c:auto val="1"/>
        <c:lblAlgn val="ctr"/>
        <c:lblOffset val="100"/>
        <c:noMultiLvlLbl val="0"/>
      </c:catAx>
      <c:valAx>
        <c:axId val="1540127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128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058731788961166"/>
          <c:y val="4.9591353164187807E-2"/>
          <c:w val="0.18462703031686256"/>
          <c:h val="0.23658318751822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12MA_vs_HOLT'S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223439461371687E-2"/>
          <c:y val="3.2407407407407406E-2"/>
          <c:w val="0.9442216326220092"/>
          <c:h val="0.85093394575678039"/>
        </c:manualLayout>
      </c:layout>
      <c:lineChart>
        <c:grouping val="stacked"/>
        <c:varyColors val="0"/>
        <c:ser>
          <c:idx val="1"/>
          <c:order val="0"/>
          <c:tx>
            <c:strRef>
              <c:f>Data!$P$1</c:f>
              <c:strCache>
                <c:ptCount val="1"/>
                <c:pt idx="0">
                  <c:v>12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Data!$P$2:$P$61</c:f>
              <c:numCache>
                <c:formatCode>General</c:formatCode>
                <c:ptCount val="60"/>
                <c:pt idx="12">
                  <c:v>132.58333333333334</c:v>
                </c:pt>
                <c:pt idx="13">
                  <c:v>134.16666666666666</c:v>
                </c:pt>
                <c:pt idx="14">
                  <c:v>135.33333333333334</c:v>
                </c:pt>
                <c:pt idx="15">
                  <c:v>134.58333333333334</c:v>
                </c:pt>
                <c:pt idx="16">
                  <c:v>133.33333333333334</c:v>
                </c:pt>
                <c:pt idx="17">
                  <c:v>136.08333333333334</c:v>
                </c:pt>
                <c:pt idx="18">
                  <c:v>143.41666666666666</c:v>
                </c:pt>
                <c:pt idx="19">
                  <c:v>134.75</c:v>
                </c:pt>
                <c:pt idx="20">
                  <c:v>155.91666666666666</c:v>
                </c:pt>
                <c:pt idx="21">
                  <c:v>153.33333333333334</c:v>
                </c:pt>
                <c:pt idx="22">
                  <c:v>147.41666666666666</c:v>
                </c:pt>
                <c:pt idx="23">
                  <c:v>148.83333333333334</c:v>
                </c:pt>
                <c:pt idx="24">
                  <c:v>142.08333333333334</c:v>
                </c:pt>
                <c:pt idx="25">
                  <c:v>148.83333333333334</c:v>
                </c:pt>
                <c:pt idx="26">
                  <c:v>138.58333333333334</c:v>
                </c:pt>
                <c:pt idx="27">
                  <c:v>146.58333333333334</c:v>
                </c:pt>
                <c:pt idx="28">
                  <c:v>143.66666666666666</c:v>
                </c:pt>
                <c:pt idx="29">
                  <c:v>142.41666666666666</c:v>
                </c:pt>
                <c:pt idx="30">
                  <c:v>138.5</c:v>
                </c:pt>
                <c:pt idx="31">
                  <c:v>132.33333333333334</c:v>
                </c:pt>
                <c:pt idx="32">
                  <c:v>115.41666666666667</c:v>
                </c:pt>
                <c:pt idx="33">
                  <c:v>116</c:v>
                </c:pt>
                <c:pt idx="34">
                  <c:v>114.91666666666667</c:v>
                </c:pt>
                <c:pt idx="35">
                  <c:v>112.25</c:v>
                </c:pt>
                <c:pt idx="36">
                  <c:v>114.91666666666667</c:v>
                </c:pt>
                <c:pt idx="37">
                  <c:v>123.08333333333333</c:v>
                </c:pt>
                <c:pt idx="38">
                  <c:v>125.66666666666667</c:v>
                </c:pt>
                <c:pt idx="39">
                  <c:v>116.91666666666667</c:v>
                </c:pt>
                <c:pt idx="40">
                  <c:v>115.41666666666667</c:v>
                </c:pt>
                <c:pt idx="41">
                  <c:v>113.83333333333333</c:v>
                </c:pt>
                <c:pt idx="42">
                  <c:v>112.91666666666667</c:v>
                </c:pt>
                <c:pt idx="43">
                  <c:v>123.41666666666667</c:v>
                </c:pt>
                <c:pt idx="44">
                  <c:v>130.75</c:v>
                </c:pt>
                <c:pt idx="45">
                  <c:v>136.5</c:v>
                </c:pt>
                <c:pt idx="46">
                  <c:v>133</c:v>
                </c:pt>
                <c:pt idx="47">
                  <c:v>136.41666666666666</c:v>
                </c:pt>
                <c:pt idx="48">
                  <c:v>137.58333333333334</c:v>
                </c:pt>
                <c:pt idx="49">
                  <c:v>125.75</c:v>
                </c:pt>
                <c:pt idx="50">
                  <c:v>125.16666666666667</c:v>
                </c:pt>
                <c:pt idx="51">
                  <c:v>127.58333333333333</c:v>
                </c:pt>
                <c:pt idx="52">
                  <c:v>130</c:v>
                </c:pt>
                <c:pt idx="53">
                  <c:v>132.83333333333334</c:v>
                </c:pt>
                <c:pt idx="54">
                  <c:v>138.91666666666666</c:v>
                </c:pt>
                <c:pt idx="55">
                  <c:v>128.5</c:v>
                </c:pt>
                <c:pt idx="56">
                  <c:v>126.58333333333333</c:v>
                </c:pt>
                <c:pt idx="57">
                  <c:v>126.33333333333333</c:v>
                </c:pt>
                <c:pt idx="58">
                  <c:v>133</c:v>
                </c:pt>
                <c:pt idx="59">
                  <c:v>130.83333333333334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C9-4FE7-8E6B-E56E4E39B236}"/>
            </c:ext>
          </c:extLst>
        </c:ser>
        <c:ser>
          <c:idx val="2"/>
          <c:order val="1"/>
          <c:tx>
            <c:strRef>
              <c:f>Data!$I$1</c:f>
              <c:strCache>
                <c:ptCount val="1"/>
                <c:pt idx="0">
                  <c:v>Holt's Trend Method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Data!$I$2:$I$61</c:f>
              <c:numCache>
                <c:formatCode>General</c:formatCode>
                <c:ptCount val="60"/>
                <c:pt idx="1">
                  <c:v>214</c:v>
                </c:pt>
                <c:pt idx="2">
                  <c:v>388</c:v>
                </c:pt>
                <c:pt idx="3">
                  <c:v>443.92000000000007</c:v>
                </c:pt>
                <c:pt idx="4">
                  <c:v>455.30880000000013</c:v>
                </c:pt>
                <c:pt idx="5">
                  <c:v>387.37043200000016</c:v>
                </c:pt>
                <c:pt idx="6">
                  <c:v>271.00046848000011</c:v>
                </c:pt>
                <c:pt idx="7">
                  <c:v>223.46442270720013</c:v>
                </c:pt>
                <c:pt idx="8">
                  <c:v>133.3612784558081</c:v>
                </c:pt>
                <c:pt idx="9">
                  <c:v>78.380958501765221</c:v>
                </c:pt>
                <c:pt idx="10">
                  <c:v>72.575749178248472</c:v>
                </c:pt>
                <c:pt idx="11">
                  <c:v>60.319461850915317</c:v>
                </c:pt>
                <c:pt idx="12">
                  <c:v>60.383318092902343</c:v>
                </c:pt>
                <c:pt idx="13">
                  <c:v>45.61307219162758</c:v>
                </c:pt>
                <c:pt idx="14">
                  <c:v>96.778783919947386</c:v>
                </c:pt>
                <c:pt idx="15">
                  <c:v>94.986747875411638</c:v>
                </c:pt>
                <c:pt idx="16">
                  <c:v>112.43523937971719</c:v>
                </c:pt>
                <c:pt idx="17">
                  <c:v>119.08439428240686</c:v>
                </c:pt>
                <c:pt idx="18">
                  <c:v>130.39021511937352</c:v>
                </c:pt>
                <c:pt idx="19">
                  <c:v>152.45243736984708</c:v>
                </c:pt>
                <c:pt idx="20">
                  <c:v>241.6298251910504</c:v>
                </c:pt>
                <c:pt idx="21">
                  <c:v>250.79096341744503</c:v>
                </c:pt>
                <c:pt idx="22">
                  <c:v>249.35331985176947</c:v>
                </c:pt>
                <c:pt idx="23">
                  <c:v>232.62667382294595</c:v>
                </c:pt>
                <c:pt idx="24">
                  <c:v>168.98508918821574</c:v>
                </c:pt>
                <c:pt idx="25">
                  <c:v>131.23420721031704</c:v>
                </c:pt>
                <c:pt idx="26">
                  <c:v>89.836028474347373</c:v>
                </c:pt>
                <c:pt idx="27">
                  <c:v>74.263720929676055</c:v>
                </c:pt>
                <c:pt idx="28">
                  <c:v>52.203679545190852</c:v>
                </c:pt>
                <c:pt idx="29">
                  <c:v>38.483057710372151</c:v>
                </c:pt>
                <c:pt idx="30">
                  <c:v>32.469271008857646</c:v>
                </c:pt>
                <c:pt idx="31">
                  <c:v>39.103158286228819</c:v>
                </c:pt>
                <c:pt idx="32">
                  <c:v>75.793762782329154</c:v>
                </c:pt>
                <c:pt idx="33">
                  <c:v>112.61924433403675</c:v>
                </c:pt>
                <c:pt idx="34">
                  <c:v>149.34055048195697</c:v>
                </c:pt>
                <c:pt idx="35">
                  <c:v>170.22310732317999</c:v>
                </c:pt>
                <c:pt idx="36">
                  <c:v>164.57345562444965</c:v>
                </c:pt>
                <c:pt idx="37">
                  <c:v>202.80198136555344</c:v>
                </c:pt>
                <c:pt idx="38">
                  <c:v>202.29648493994796</c:v>
                </c:pt>
                <c:pt idx="39">
                  <c:v>157.44465020907191</c:v>
                </c:pt>
                <c:pt idx="40">
                  <c:v>113.17203839091957</c:v>
                </c:pt>
                <c:pt idx="41">
                  <c:v>68.686422793850568</c:v>
                </c:pt>
                <c:pt idx="42">
                  <c:v>33.068102669179275</c:v>
                </c:pt>
                <c:pt idx="43">
                  <c:v>63.482550142373569</c:v>
                </c:pt>
                <c:pt idx="44">
                  <c:v>121.77690009814923</c:v>
                </c:pt>
                <c:pt idx="45">
                  <c:v>175.7680760470659</c:v>
                </c:pt>
                <c:pt idx="46">
                  <c:v>187.19812463866873</c:v>
                </c:pt>
                <c:pt idx="47">
                  <c:v>204.95046356976394</c:v>
                </c:pt>
                <c:pt idx="48">
                  <c:v>188.08026054347792</c:v>
                </c:pt>
                <c:pt idx="49">
                  <c:v>159.6512564354926</c:v>
                </c:pt>
                <c:pt idx="50">
                  <c:v>138.60385211942557</c:v>
                </c:pt>
                <c:pt idx="51">
                  <c:v>99.349312327463849</c:v>
                </c:pt>
                <c:pt idx="52">
                  <c:v>73.489790521500268</c:v>
                </c:pt>
                <c:pt idx="53">
                  <c:v>56.523806593289365</c:v>
                </c:pt>
                <c:pt idx="54">
                  <c:v>64.347210395794349</c:v>
                </c:pt>
                <c:pt idx="55">
                  <c:v>64.910379774471252</c:v>
                </c:pt>
                <c:pt idx="56">
                  <c:v>115.81525451349738</c:v>
                </c:pt>
                <c:pt idx="57">
                  <c:v>168.36871358255871</c:v>
                </c:pt>
                <c:pt idx="58">
                  <c:v>209.23248666459844</c:v>
                </c:pt>
                <c:pt idx="59">
                  <c:v>221.64630726389444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C9-4FE7-8E6B-E56E4E39B236}"/>
            </c:ext>
          </c:extLst>
        </c:ser>
        <c:ser>
          <c:idx val="0"/>
          <c:order val="2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C9-4FE7-8E6B-E56E4E39B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694688"/>
        <c:axId val="1679970400"/>
      </c:lineChart>
      <c:catAx>
        <c:axId val="1619694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970400"/>
        <c:crosses val="autoZero"/>
        <c:auto val="1"/>
        <c:lblAlgn val="ctr"/>
        <c:lblOffset val="100"/>
        <c:noMultiLvlLbl val="0"/>
      </c:catAx>
      <c:valAx>
        <c:axId val="1679970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69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50640952489644"/>
          <c:y val="4.021908719743366E-2"/>
          <c:w val="0.19298908288637837"/>
          <c:h val="0.280271945173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12MA_vs_WINTER'S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88426043518753E-2"/>
          <c:y val="4.6712962962962963E-2"/>
          <c:w val="0.94069579205825082"/>
          <c:h val="0.83199876057159516"/>
        </c:manualLayout>
      </c:layout>
      <c:lineChart>
        <c:grouping val="stacked"/>
        <c:varyColors val="0"/>
        <c:ser>
          <c:idx val="1"/>
          <c:order val="0"/>
          <c:tx>
            <c:strRef>
              <c:f>Data!$P$1</c:f>
              <c:strCache>
                <c:ptCount val="1"/>
                <c:pt idx="0">
                  <c:v>12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Data!$P$2:$P$61</c:f>
              <c:numCache>
                <c:formatCode>General</c:formatCode>
                <c:ptCount val="60"/>
                <c:pt idx="12">
                  <c:v>132.58333333333334</c:v>
                </c:pt>
                <c:pt idx="13">
                  <c:v>134.16666666666666</c:v>
                </c:pt>
                <c:pt idx="14">
                  <c:v>135.33333333333334</c:v>
                </c:pt>
                <c:pt idx="15">
                  <c:v>134.58333333333334</c:v>
                </c:pt>
                <c:pt idx="16">
                  <c:v>133.33333333333334</c:v>
                </c:pt>
                <c:pt idx="17">
                  <c:v>136.08333333333334</c:v>
                </c:pt>
                <c:pt idx="18">
                  <c:v>143.41666666666666</c:v>
                </c:pt>
                <c:pt idx="19">
                  <c:v>134.75</c:v>
                </c:pt>
                <c:pt idx="20">
                  <c:v>155.91666666666666</c:v>
                </c:pt>
                <c:pt idx="21">
                  <c:v>153.33333333333334</c:v>
                </c:pt>
                <c:pt idx="22">
                  <c:v>147.41666666666666</c:v>
                </c:pt>
                <c:pt idx="23">
                  <c:v>148.83333333333334</c:v>
                </c:pt>
                <c:pt idx="24">
                  <c:v>142.08333333333334</c:v>
                </c:pt>
                <c:pt idx="25">
                  <c:v>148.83333333333334</c:v>
                </c:pt>
                <c:pt idx="26">
                  <c:v>138.58333333333334</c:v>
                </c:pt>
                <c:pt idx="27">
                  <c:v>146.58333333333334</c:v>
                </c:pt>
                <c:pt idx="28">
                  <c:v>143.66666666666666</c:v>
                </c:pt>
                <c:pt idx="29">
                  <c:v>142.41666666666666</c:v>
                </c:pt>
                <c:pt idx="30">
                  <c:v>138.5</c:v>
                </c:pt>
                <c:pt idx="31">
                  <c:v>132.33333333333334</c:v>
                </c:pt>
                <c:pt idx="32">
                  <c:v>115.41666666666667</c:v>
                </c:pt>
                <c:pt idx="33">
                  <c:v>116</c:v>
                </c:pt>
                <c:pt idx="34">
                  <c:v>114.91666666666667</c:v>
                </c:pt>
                <c:pt idx="35">
                  <c:v>112.25</c:v>
                </c:pt>
                <c:pt idx="36">
                  <c:v>114.91666666666667</c:v>
                </c:pt>
                <c:pt idx="37">
                  <c:v>123.08333333333333</c:v>
                </c:pt>
                <c:pt idx="38">
                  <c:v>125.66666666666667</c:v>
                </c:pt>
                <c:pt idx="39">
                  <c:v>116.91666666666667</c:v>
                </c:pt>
                <c:pt idx="40">
                  <c:v>115.41666666666667</c:v>
                </c:pt>
                <c:pt idx="41">
                  <c:v>113.83333333333333</c:v>
                </c:pt>
                <c:pt idx="42">
                  <c:v>112.91666666666667</c:v>
                </c:pt>
                <c:pt idx="43">
                  <c:v>123.41666666666667</c:v>
                </c:pt>
                <c:pt idx="44">
                  <c:v>130.75</c:v>
                </c:pt>
                <c:pt idx="45">
                  <c:v>136.5</c:v>
                </c:pt>
                <c:pt idx="46">
                  <c:v>133</c:v>
                </c:pt>
                <c:pt idx="47">
                  <c:v>136.41666666666666</c:v>
                </c:pt>
                <c:pt idx="48">
                  <c:v>137.58333333333334</c:v>
                </c:pt>
                <c:pt idx="49">
                  <c:v>125.75</c:v>
                </c:pt>
                <c:pt idx="50">
                  <c:v>125.16666666666667</c:v>
                </c:pt>
                <c:pt idx="51">
                  <c:v>127.58333333333333</c:v>
                </c:pt>
                <c:pt idx="52">
                  <c:v>130</c:v>
                </c:pt>
                <c:pt idx="53">
                  <c:v>132.83333333333334</c:v>
                </c:pt>
                <c:pt idx="54">
                  <c:v>138.91666666666666</c:v>
                </c:pt>
                <c:pt idx="55">
                  <c:v>128.5</c:v>
                </c:pt>
                <c:pt idx="56">
                  <c:v>126.58333333333333</c:v>
                </c:pt>
                <c:pt idx="57">
                  <c:v>126.33333333333333</c:v>
                </c:pt>
                <c:pt idx="58">
                  <c:v>133</c:v>
                </c:pt>
                <c:pt idx="59">
                  <c:v>130.83333333333334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6B-46DB-9CDE-75BC9786E5B8}"/>
            </c:ext>
          </c:extLst>
        </c:ser>
        <c:ser>
          <c:idx val="2"/>
          <c:order val="1"/>
          <c:tx>
            <c:strRef>
              <c:f>Data!$M$1</c:f>
              <c:strCache>
                <c:ptCount val="1"/>
                <c:pt idx="0">
                  <c:v>Winter's Seasonal Method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Data!$M$2:$M$61</c:f>
              <c:numCache>
                <c:formatCode>General</c:formatCode>
                <c:ptCount val="60"/>
                <c:pt idx="13">
                  <c:v>417.3</c:v>
                </c:pt>
                <c:pt idx="14">
                  <c:v>126.39308411214954</c:v>
                </c:pt>
                <c:pt idx="15">
                  <c:v>274.29710579439256</c:v>
                </c:pt>
                <c:pt idx="16">
                  <c:v>112.15042476716788</c:v>
                </c:pt>
                <c:pt idx="17">
                  <c:v>57.744781131760611</c:v>
                </c:pt>
                <c:pt idx="18">
                  <c:v>584.39470223879596</c:v>
                </c:pt>
                <c:pt idx="19">
                  <c:v>189.23258124789311</c:v>
                </c:pt>
                <c:pt idx="20">
                  <c:v>391.58245121361063</c:v>
                </c:pt>
                <c:pt idx="21">
                  <c:v>474.39458061998891</c:v>
                </c:pt>
                <c:pt idx="22">
                  <c:v>214.33343366702189</c:v>
                </c:pt>
                <c:pt idx="23">
                  <c:v>150.4589962810667</c:v>
                </c:pt>
                <c:pt idx="24">
                  <c:v>22.375270456483559</c:v>
                </c:pt>
                <c:pt idx="25">
                  <c:v>162.94409512512473</c:v>
                </c:pt>
                <c:pt idx="26">
                  <c:v>33.103420471512784</c:v>
                </c:pt>
                <c:pt idx="27">
                  <c:v>182.12173427929835</c:v>
                </c:pt>
                <c:pt idx="28">
                  <c:v>147.72347223009459</c:v>
                </c:pt>
                <c:pt idx="29">
                  <c:v>149.25466667447557</c:v>
                </c:pt>
                <c:pt idx="30">
                  <c:v>235.31989840017542</c:v>
                </c:pt>
                <c:pt idx="31">
                  <c:v>276.42402502526863</c:v>
                </c:pt>
                <c:pt idx="32">
                  <c:v>92.024538177926729</c:v>
                </c:pt>
                <c:pt idx="33">
                  <c:v>118.33386556591272</c:v>
                </c:pt>
                <c:pt idx="34">
                  <c:v>110.26126955421302</c:v>
                </c:pt>
                <c:pt idx="35">
                  <c:v>50.064783376480719</c:v>
                </c:pt>
                <c:pt idx="36">
                  <c:v>98.284239591801025</c:v>
                </c:pt>
                <c:pt idx="37">
                  <c:v>121.06136521105988</c:v>
                </c:pt>
                <c:pt idx="38">
                  <c:v>104.863595304011</c:v>
                </c:pt>
                <c:pt idx="39">
                  <c:v>54.427391383423469</c:v>
                </c:pt>
                <c:pt idx="40">
                  <c:v>51.837935458852677</c:v>
                </c:pt>
                <c:pt idx="41">
                  <c:v>55.980982827180078</c:v>
                </c:pt>
                <c:pt idx="42">
                  <c:v>88.252106233891737</c:v>
                </c:pt>
                <c:pt idx="43">
                  <c:v>284.93107352049378</c:v>
                </c:pt>
                <c:pt idx="44">
                  <c:v>313.52398631898063</c:v>
                </c:pt>
                <c:pt idx="45">
                  <c:v>400.0371997540866</c:v>
                </c:pt>
                <c:pt idx="46">
                  <c:v>329.93299358669105</c:v>
                </c:pt>
                <c:pt idx="47">
                  <c:v>181.72983795298879</c:v>
                </c:pt>
                <c:pt idx="48">
                  <c:v>307.06193169901923</c:v>
                </c:pt>
                <c:pt idx="49">
                  <c:v>73.687053152076984</c:v>
                </c:pt>
                <c:pt idx="50">
                  <c:v>9.841814682685186</c:v>
                </c:pt>
                <c:pt idx="51">
                  <c:v>15.687091597309083</c:v>
                </c:pt>
                <c:pt idx="52">
                  <c:v>25.887712457550435</c:v>
                </c:pt>
                <c:pt idx="53">
                  <c:v>46.962119989524297</c:v>
                </c:pt>
                <c:pt idx="54">
                  <c:v>199.66336592090323</c:v>
                </c:pt>
                <c:pt idx="55">
                  <c:v>212.32148882797989</c:v>
                </c:pt>
                <c:pt idx="56">
                  <c:v>201.93655385706398</c:v>
                </c:pt>
                <c:pt idx="57">
                  <c:v>147.47223939312568</c:v>
                </c:pt>
                <c:pt idx="58">
                  <c:v>284.84547657980977</c:v>
                </c:pt>
                <c:pt idx="59">
                  <c:v>197.69161770648105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6B-46DB-9CDE-75BC9786E5B8}"/>
            </c:ext>
          </c:extLst>
        </c:ser>
        <c:ser>
          <c:idx val="0"/>
          <c:order val="2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6B-46DB-9CDE-75BC9786E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695168"/>
        <c:axId val="1725966096"/>
      </c:lineChart>
      <c:catAx>
        <c:axId val="1619695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966096"/>
        <c:crosses val="autoZero"/>
        <c:auto val="1"/>
        <c:lblAlgn val="ctr"/>
        <c:lblOffset val="100"/>
        <c:noMultiLvlLbl val="0"/>
      </c:catAx>
      <c:valAx>
        <c:axId val="1725966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69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26788586910504"/>
          <c:y val="0.10987168270632837"/>
          <c:w val="0.13105969011938023"/>
          <c:h val="0.19508807063856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ES_vs_HT_vs_WS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247554282987349E-2"/>
          <c:y val="4.2083333333333334E-2"/>
          <c:w val="0.9300947466793924"/>
          <c:h val="0.82273950131233597"/>
        </c:manualLayout>
      </c:layout>
      <c:lineChart>
        <c:grouping val="stacked"/>
        <c:varyColors val="0"/>
        <c:ser>
          <c:idx val="3"/>
          <c:order val="0"/>
          <c:tx>
            <c:strRef>
              <c:f>Data!$M$1</c:f>
              <c:strCache>
                <c:ptCount val="1"/>
                <c:pt idx="0">
                  <c:v>Winter's Seasonal Method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Data!$M$2:$M$61</c:f>
              <c:numCache>
                <c:formatCode>General</c:formatCode>
                <c:ptCount val="60"/>
                <c:pt idx="13">
                  <c:v>417.3</c:v>
                </c:pt>
                <c:pt idx="14">
                  <c:v>126.39308411214954</c:v>
                </c:pt>
                <c:pt idx="15">
                  <c:v>274.29710579439256</c:v>
                </c:pt>
                <c:pt idx="16">
                  <c:v>112.15042476716788</c:v>
                </c:pt>
                <c:pt idx="17">
                  <c:v>57.744781131760611</c:v>
                </c:pt>
                <c:pt idx="18">
                  <c:v>584.39470223879596</c:v>
                </c:pt>
                <c:pt idx="19">
                  <c:v>189.23258124789311</c:v>
                </c:pt>
                <c:pt idx="20">
                  <c:v>391.58245121361063</c:v>
                </c:pt>
                <c:pt idx="21">
                  <c:v>474.39458061998891</c:v>
                </c:pt>
                <c:pt idx="22">
                  <c:v>214.33343366702189</c:v>
                </c:pt>
                <c:pt idx="23">
                  <c:v>150.4589962810667</c:v>
                </c:pt>
                <c:pt idx="24">
                  <c:v>22.375270456483559</c:v>
                </c:pt>
                <c:pt idx="25">
                  <c:v>162.94409512512473</c:v>
                </c:pt>
                <c:pt idx="26">
                  <c:v>33.103420471512784</c:v>
                </c:pt>
                <c:pt idx="27">
                  <c:v>182.12173427929835</c:v>
                </c:pt>
                <c:pt idx="28">
                  <c:v>147.72347223009459</c:v>
                </c:pt>
                <c:pt idx="29">
                  <c:v>149.25466667447557</c:v>
                </c:pt>
                <c:pt idx="30">
                  <c:v>235.31989840017542</c:v>
                </c:pt>
                <c:pt idx="31">
                  <c:v>276.42402502526863</c:v>
                </c:pt>
                <c:pt idx="32">
                  <c:v>92.024538177926729</c:v>
                </c:pt>
                <c:pt idx="33">
                  <c:v>118.33386556591272</c:v>
                </c:pt>
                <c:pt idx="34">
                  <c:v>110.26126955421302</c:v>
                </c:pt>
                <c:pt idx="35">
                  <c:v>50.064783376480719</c:v>
                </c:pt>
                <c:pt idx="36">
                  <c:v>98.284239591801025</c:v>
                </c:pt>
                <c:pt idx="37">
                  <c:v>121.06136521105988</c:v>
                </c:pt>
                <c:pt idx="38">
                  <c:v>104.863595304011</c:v>
                </c:pt>
                <c:pt idx="39">
                  <c:v>54.427391383423469</c:v>
                </c:pt>
                <c:pt idx="40">
                  <c:v>51.837935458852677</c:v>
                </c:pt>
                <c:pt idx="41">
                  <c:v>55.980982827180078</c:v>
                </c:pt>
                <c:pt idx="42">
                  <c:v>88.252106233891737</c:v>
                </c:pt>
                <c:pt idx="43">
                  <c:v>284.93107352049378</c:v>
                </c:pt>
                <c:pt idx="44">
                  <c:v>313.52398631898063</c:v>
                </c:pt>
                <c:pt idx="45">
                  <c:v>400.0371997540866</c:v>
                </c:pt>
                <c:pt idx="46">
                  <c:v>329.93299358669105</c:v>
                </c:pt>
                <c:pt idx="47">
                  <c:v>181.72983795298879</c:v>
                </c:pt>
                <c:pt idx="48">
                  <c:v>307.06193169901923</c:v>
                </c:pt>
                <c:pt idx="49">
                  <c:v>73.687053152076984</c:v>
                </c:pt>
                <c:pt idx="50">
                  <c:v>9.841814682685186</c:v>
                </c:pt>
                <c:pt idx="51">
                  <c:v>15.687091597309083</c:v>
                </c:pt>
                <c:pt idx="52">
                  <c:v>25.887712457550435</c:v>
                </c:pt>
                <c:pt idx="53">
                  <c:v>46.962119989524297</c:v>
                </c:pt>
                <c:pt idx="54">
                  <c:v>199.66336592090323</c:v>
                </c:pt>
                <c:pt idx="55">
                  <c:v>212.32148882797989</c:v>
                </c:pt>
                <c:pt idx="56">
                  <c:v>201.93655385706398</c:v>
                </c:pt>
                <c:pt idx="57">
                  <c:v>147.47223939312568</c:v>
                </c:pt>
                <c:pt idx="58">
                  <c:v>284.84547657980977</c:v>
                </c:pt>
                <c:pt idx="59">
                  <c:v>197.69161770648105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EC-4EC2-9CF0-9BE76EC165EC}"/>
            </c:ext>
          </c:extLst>
        </c:ser>
        <c:ser>
          <c:idx val="2"/>
          <c:order val="1"/>
          <c:tx>
            <c:strRef>
              <c:f>Data!$I$1</c:f>
              <c:strCache>
                <c:ptCount val="1"/>
                <c:pt idx="0">
                  <c:v>Holt's Trend Method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Data!$I$2:$I$61</c:f>
              <c:numCache>
                <c:formatCode>General</c:formatCode>
                <c:ptCount val="60"/>
                <c:pt idx="1">
                  <c:v>214</c:v>
                </c:pt>
                <c:pt idx="2">
                  <c:v>388</c:v>
                </c:pt>
                <c:pt idx="3">
                  <c:v>443.92000000000007</c:v>
                </c:pt>
                <c:pt idx="4">
                  <c:v>455.30880000000013</c:v>
                </c:pt>
                <c:pt idx="5">
                  <c:v>387.37043200000016</c:v>
                </c:pt>
                <c:pt idx="6">
                  <c:v>271.00046848000011</c:v>
                </c:pt>
                <c:pt idx="7">
                  <c:v>223.46442270720013</c:v>
                </c:pt>
                <c:pt idx="8">
                  <c:v>133.3612784558081</c:v>
                </c:pt>
                <c:pt idx="9">
                  <c:v>78.380958501765221</c:v>
                </c:pt>
                <c:pt idx="10">
                  <c:v>72.575749178248472</c:v>
                </c:pt>
                <c:pt idx="11">
                  <c:v>60.319461850915317</c:v>
                </c:pt>
                <c:pt idx="12">
                  <c:v>60.383318092902343</c:v>
                </c:pt>
                <c:pt idx="13">
                  <c:v>45.61307219162758</c:v>
                </c:pt>
                <c:pt idx="14">
                  <c:v>96.778783919947386</c:v>
                </c:pt>
                <c:pt idx="15">
                  <c:v>94.986747875411638</c:v>
                </c:pt>
                <c:pt idx="16">
                  <c:v>112.43523937971719</c:v>
                </c:pt>
                <c:pt idx="17">
                  <c:v>119.08439428240686</c:v>
                </c:pt>
                <c:pt idx="18">
                  <c:v>130.39021511937352</c:v>
                </c:pt>
                <c:pt idx="19">
                  <c:v>152.45243736984708</c:v>
                </c:pt>
                <c:pt idx="20">
                  <c:v>241.6298251910504</c:v>
                </c:pt>
                <c:pt idx="21">
                  <c:v>250.79096341744503</c:v>
                </c:pt>
                <c:pt idx="22">
                  <c:v>249.35331985176947</c:v>
                </c:pt>
                <c:pt idx="23">
                  <c:v>232.62667382294595</c:v>
                </c:pt>
                <c:pt idx="24">
                  <c:v>168.98508918821574</c:v>
                </c:pt>
                <c:pt idx="25">
                  <c:v>131.23420721031704</c:v>
                </c:pt>
                <c:pt idx="26">
                  <c:v>89.836028474347373</c:v>
                </c:pt>
                <c:pt idx="27">
                  <c:v>74.263720929676055</c:v>
                </c:pt>
                <c:pt idx="28">
                  <c:v>52.203679545190852</c:v>
                </c:pt>
                <c:pt idx="29">
                  <c:v>38.483057710372151</c:v>
                </c:pt>
                <c:pt idx="30">
                  <c:v>32.469271008857646</c:v>
                </c:pt>
                <c:pt idx="31">
                  <c:v>39.103158286228819</c:v>
                </c:pt>
                <c:pt idx="32">
                  <c:v>75.793762782329154</c:v>
                </c:pt>
                <c:pt idx="33">
                  <c:v>112.61924433403675</c:v>
                </c:pt>
                <c:pt idx="34">
                  <c:v>149.34055048195697</c:v>
                </c:pt>
                <c:pt idx="35">
                  <c:v>170.22310732317999</c:v>
                </c:pt>
                <c:pt idx="36">
                  <c:v>164.57345562444965</c:v>
                </c:pt>
                <c:pt idx="37">
                  <c:v>202.80198136555344</c:v>
                </c:pt>
                <c:pt idx="38">
                  <c:v>202.29648493994796</c:v>
                </c:pt>
                <c:pt idx="39">
                  <c:v>157.44465020907191</c:v>
                </c:pt>
                <c:pt idx="40">
                  <c:v>113.17203839091957</c:v>
                </c:pt>
                <c:pt idx="41">
                  <c:v>68.686422793850568</c:v>
                </c:pt>
                <c:pt idx="42">
                  <c:v>33.068102669179275</c:v>
                </c:pt>
                <c:pt idx="43">
                  <c:v>63.482550142373569</c:v>
                </c:pt>
                <c:pt idx="44">
                  <c:v>121.77690009814923</c:v>
                </c:pt>
                <c:pt idx="45">
                  <c:v>175.7680760470659</c:v>
                </c:pt>
                <c:pt idx="46">
                  <c:v>187.19812463866873</c:v>
                </c:pt>
                <c:pt idx="47">
                  <c:v>204.95046356976394</c:v>
                </c:pt>
                <c:pt idx="48">
                  <c:v>188.08026054347792</c:v>
                </c:pt>
                <c:pt idx="49">
                  <c:v>159.6512564354926</c:v>
                </c:pt>
                <c:pt idx="50">
                  <c:v>138.60385211942557</c:v>
                </c:pt>
                <c:pt idx="51">
                  <c:v>99.349312327463849</c:v>
                </c:pt>
                <c:pt idx="52">
                  <c:v>73.489790521500268</c:v>
                </c:pt>
                <c:pt idx="53">
                  <c:v>56.523806593289365</c:v>
                </c:pt>
                <c:pt idx="54">
                  <c:v>64.347210395794349</c:v>
                </c:pt>
                <c:pt idx="55">
                  <c:v>64.910379774471252</c:v>
                </c:pt>
                <c:pt idx="56">
                  <c:v>115.81525451349738</c:v>
                </c:pt>
                <c:pt idx="57">
                  <c:v>168.36871358255871</c:v>
                </c:pt>
                <c:pt idx="58">
                  <c:v>209.23248666459844</c:v>
                </c:pt>
                <c:pt idx="59">
                  <c:v>221.64630726389444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EC-4EC2-9CF0-9BE76EC165EC}"/>
            </c:ext>
          </c:extLst>
        </c:ser>
        <c:ser>
          <c:idx val="1"/>
          <c:order val="2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EC-4EC2-9CF0-9BE76EC165EC}"/>
            </c:ext>
          </c:extLst>
        </c:ser>
        <c:ser>
          <c:idx val="0"/>
          <c:order val="3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EC-4EC2-9CF0-9BE76EC16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468448"/>
        <c:axId val="1408080336"/>
      </c:lineChart>
      <c:catAx>
        <c:axId val="1408468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080336"/>
        <c:crosses val="autoZero"/>
        <c:auto val="1"/>
        <c:lblAlgn val="ctr"/>
        <c:lblOffset val="100"/>
        <c:noMultiLvlLbl val="0"/>
      </c:catAx>
      <c:valAx>
        <c:axId val="1408080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46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835979877515313"/>
          <c:y val="6.1549650043744533E-2"/>
          <c:w val="0.14493746520321324"/>
          <c:h val="0.31250218722659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12MA_vs_ES_vs_HT_vs_WS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492014180609558E-2"/>
          <c:y val="3.5947712418300651E-2"/>
          <c:w val="0.93727090565292237"/>
          <c:h val="0.88824095517472079"/>
        </c:manualLayout>
      </c:layout>
      <c:lineChart>
        <c:grouping val="stacked"/>
        <c:varyColors val="0"/>
        <c:ser>
          <c:idx val="3"/>
          <c:order val="0"/>
          <c:tx>
            <c:strRef>
              <c:f>Data!$M$1</c:f>
              <c:strCache>
                <c:ptCount val="1"/>
                <c:pt idx="0">
                  <c:v>Winter's Seasonal Method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Data!$M$2:$M$61</c:f>
              <c:numCache>
                <c:formatCode>General</c:formatCode>
                <c:ptCount val="60"/>
                <c:pt idx="13">
                  <c:v>417.3</c:v>
                </c:pt>
                <c:pt idx="14">
                  <c:v>126.39308411214954</c:v>
                </c:pt>
                <c:pt idx="15">
                  <c:v>274.29710579439256</c:v>
                </c:pt>
                <c:pt idx="16">
                  <c:v>112.15042476716788</c:v>
                </c:pt>
                <c:pt idx="17">
                  <c:v>57.744781131760611</c:v>
                </c:pt>
                <c:pt idx="18">
                  <c:v>584.39470223879596</c:v>
                </c:pt>
                <c:pt idx="19">
                  <c:v>189.23258124789311</c:v>
                </c:pt>
                <c:pt idx="20">
                  <c:v>391.58245121361063</c:v>
                </c:pt>
                <c:pt idx="21">
                  <c:v>474.39458061998891</c:v>
                </c:pt>
                <c:pt idx="22">
                  <c:v>214.33343366702189</c:v>
                </c:pt>
                <c:pt idx="23">
                  <c:v>150.4589962810667</c:v>
                </c:pt>
                <c:pt idx="24">
                  <c:v>22.375270456483559</c:v>
                </c:pt>
                <c:pt idx="25">
                  <c:v>162.94409512512473</c:v>
                </c:pt>
                <c:pt idx="26">
                  <c:v>33.103420471512784</c:v>
                </c:pt>
                <c:pt idx="27">
                  <c:v>182.12173427929835</c:v>
                </c:pt>
                <c:pt idx="28">
                  <c:v>147.72347223009459</c:v>
                </c:pt>
                <c:pt idx="29">
                  <c:v>149.25466667447557</c:v>
                </c:pt>
                <c:pt idx="30">
                  <c:v>235.31989840017542</c:v>
                </c:pt>
                <c:pt idx="31">
                  <c:v>276.42402502526863</c:v>
                </c:pt>
                <c:pt idx="32">
                  <c:v>92.024538177926729</c:v>
                </c:pt>
                <c:pt idx="33">
                  <c:v>118.33386556591272</c:v>
                </c:pt>
                <c:pt idx="34">
                  <c:v>110.26126955421302</c:v>
                </c:pt>
                <c:pt idx="35">
                  <c:v>50.064783376480719</c:v>
                </c:pt>
                <c:pt idx="36">
                  <c:v>98.284239591801025</c:v>
                </c:pt>
                <c:pt idx="37">
                  <c:v>121.06136521105988</c:v>
                </c:pt>
                <c:pt idx="38">
                  <c:v>104.863595304011</c:v>
                </c:pt>
                <c:pt idx="39">
                  <c:v>54.427391383423469</c:v>
                </c:pt>
                <c:pt idx="40">
                  <c:v>51.837935458852677</c:v>
                </c:pt>
                <c:pt idx="41">
                  <c:v>55.980982827180078</c:v>
                </c:pt>
                <c:pt idx="42">
                  <c:v>88.252106233891737</c:v>
                </c:pt>
                <c:pt idx="43">
                  <c:v>284.93107352049378</c:v>
                </c:pt>
                <c:pt idx="44">
                  <c:v>313.52398631898063</c:v>
                </c:pt>
                <c:pt idx="45">
                  <c:v>400.0371997540866</c:v>
                </c:pt>
                <c:pt idx="46">
                  <c:v>329.93299358669105</c:v>
                </c:pt>
                <c:pt idx="47">
                  <c:v>181.72983795298879</c:v>
                </c:pt>
                <c:pt idx="48">
                  <c:v>307.06193169901923</c:v>
                </c:pt>
                <c:pt idx="49">
                  <c:v>73.687053152076984</c:v>
                </c:pt>
                <c:pt idx="50">
                  <c:v>9.841814682685186</c:v>
                </c:pt>
                <c:pt idx="51">
                  <c:v>15.687091597309083</c:v>
                </c:pt>
                <c:pt idx="52">
                  <c:v>25.887712457550435</c:v>
                </c:pt>
                <c:pt idx="53">
                  <c:v>46.962119989524297</c:v>
                </c:pt>
                <c:pt idx="54">
                  <c:v>199.66336592090323</c:v>
                </c:pt>
                <c:pt idx="55">
                  <c:v>212.32148882797989</c:v>
                </c:pt>
                <c:pt idx="56">
                  <c:v>201.93655385706398</c:v>
                </c:pt>
                <c:pt idx="57">
                  <c:v>147.47223939312568</c:v>
                </c:pt>
                <c:pt idx="58">
                  <c:v>284.84547657980977</c:v>
                </c:pt>
                <c:pt idx="59">
                  <c:v>197.69161770648105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4B-4737-B044-8E5DD46765C5}"/>
            </c:ext>
          </c:extLst>
        </c:ser>
        <c:ser>
          <c:idx val="4"/>
          <c:order val="1"/>
          <c:tx>
            <c:strRef>
              <c:f>Data!$P$1</c:f>
              <c:strCache>
                <c:ptCount val="1"/>
                <c:pt idx="0">
                  <c:v>12 Point Moving Average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Data!$P$2:$P$61</c:f>
              <c:numCache>
                <c:formatCode>General</c:formatCode>
                <c:ptCount val="60"/>
                <c:pt idx="12">
                  <c:v>132.58333333333334</c:v>
                </c:pt>
                <c:pt idx="13">
                  <c:v>134.16666666666666</c:v>
                </c:pt>
                <c:pt idx="14">
                  <c:v>135.33333333333334</c:v>
                </c:pt>
                <c:pt idx="15">
                  <c:v>134.58333333333334</c:v>
                </c:pt>
                <c:pt idx="16">
                  <c:v>133.33333333333334</c:v>
                </c:pt>
                <c:pt idx="17">
                  <c:v>136.08333333333334</c:v>
                </c:pt>
                <c:pt idx="18">
                  <c:v>143.41666666666666</c:v>
                </c:pt>
                <c:pt idx="19">
                  <c:v>134.75</c:v>
                </c:pt>
                <c:pt idx="20">
                  <c:v>155.91666666666666</c:v>
                </c:pt>
                <c:pt idx="21">
                  <c:v>153.33333333333334</c:v>
                </c:pt>
                <c:pt idx="22">
                  <c:v>147.41666666666666</c:v>
                </c:pt>
                <c:pt idx="23">
                  <c:v>148.83333333333334</c:v>
                </c:pt>
                <c:pt idx="24">
                  <c:v>142.08333333333334</c:v>
                </c:pt>
                <c:pt idx="25">
                  <c:v>148.83333333333334</c:v>
                </c:pt>
                <c:pt idx="26">
                  <c:v>138.58333333333334</c:v>
                </c:pt>
                <c:pt idx="27">
                  <c:v>146.58333333333334</c:v>
                </c:pt>
                <c:pt idx="28">
                  <c:v>143.66666666666666</c:v>
                </c:pt>
                <c:pt idx="29">
                  <c:v>142.41666666666666</c:v>
                </c:pt>
                <c:pt idx="30">
                  <c:v>138.5</c:v>
                </c:pt>
                <c:pt idx="31">
                  <c:v>132.33333333333334</c:v>
                </c:pt>
                <c:pt idx="32">
                  <c:v>115.41666666666667</c:v>
                </c:pt>
                <c:pt idx="33">
                  <c:v>116</c:v>
                </c:pt>
                <c:pt idx="34">
                  <c:v>114.91666666666667</c:v>
                </c:pt>
                <c:pt idx="35">
                  <c:v>112.25</c:v>
                </c:pt>
                <c:pt idx="36">
                  <c:v>114.91666666666667</c:v>
                </c:pt>
                <c:pt idx="37">
                  <c:v>123.08333333333333</c:v>
                </c:pt>
                <c:pt idx="38">
                  <c:v>125.66666666666667</c:v>
                </c:pt>
                <c:pt idx="39">
                  <c:v>116.91666666666667</c:v>
                </c:pt>
                <c:pt idx="40">
                  <c:v>115.41666666666667</c:v>
                </c:pt>
                <c:pt idx="41">
                  <c:v>113.83333333333333</c:v>
                </c:pt>
                <c:pt idx="42">
                  <c:v>112.91666666666667</c:v>
                </c:pt>
                <c:pt idx="43">
                  <c:v>123.41666666666667</c:v>
                </c:pt>
                <c:pt idx="44">
                  <c:v>130.75</c:v>
                </c:pt>
                <c:pt idx="45">
                  <c:v>136.5</c:v>
                </c:pt>
                <c:pt idx="46">
                  <c:v>133</c:v>
                </c:pt>
                <c:pt idx="47">
                  <c:v>136.41666666666666</c:v>
                </c:pt>
                <c:pt idx="48">
                  <c:v>137.58333333333334</c:v>
                </c:pt>
                <c:pt idx="49">
                  <c:v>125.75</c:v>
                </c:pt>
                <c:pt idx="50">
                  <c:v>125.16666666666667</c:v>
                </c:pt>
                <c:pt idx="51">
                  <c:v>127.58333333333333</c:v>
                </c:pt>
                <c:pt idx="52">
                  <c:v>130</c:v>
                </c:pt>
                <c:pt idx="53">
                  <c:v>132.83333333333334</c:v>
                </c:pt>
                <c:pt idx="54">
                  <c:v>138.91666666666666</c:v>
                </c:pt>
                <c:pt idx="55">
                  <c:v>128.5</c:v>
                </c:pt>
                <c:pt idx="56">
                  <c:v>126.58333333333333</c:v>
                </c:pt>
                <c:pt idx="57">
                  <c:v>126.33333333333333</c:v>
                </c:pt>
                <c:pt idx="58">
                  <c:v>133</c:v>
                </c:pt>
                <c:pt idx="59">
                  <c:v>130.83333333333334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4B-4737-B044-8E5DD46765C5}"/>
            </c:ext>
          </c:extLst>
        </c:ser>
        <c:ser>
          <c:idx val="1"/>
          <c:order val="2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4B-4737-B044-8E5DD46765C5}"/>
            </c:ext>
          </c:extLst>
        </c:ser>
        <c:ser>
          <c:idx val="2"/>
          <c:order val="3"/>
          <c:tx>
            <c:strRef>
              <c:f>Data!$I$1</c:f>
              <c:strCache>
                <c:ptCount val="1"/>
                <c:pt idx="0">
                  <c:v>Holt's Trend Method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Data!$I$2:$I$61</c:f>
              <c:numCache>
                <c:formatCode>General</c:formatCode>
                <c:ptCount val="60"/>
                <c:pt idx="1">
                  <c:v>214</c:v>
                </c:pt>
                <c:pt idx="2">
                  <c:v>388</c:v>
                </c:pt>
                <c:pt idx="3">
                  <c:v>443.92000000000007</c:v>
                </c:pt>
                <c:pt idx="4">
                  <c:v>455.30880000000013</c:v>
                </c:pt>
                <c:pt idx="5">
                  <c:v>387.37043200000016</c:v>
                </c:pt>
                <c:pt idx="6">
                  <c:v>271.00046848000011</c:v>
                </c:pt>
                <c:pt idx="7">
                  <c:v>223.46442270720013</c:v>
                </c:pt>
                <c:pt idx="8">
                  <c:v>133.3612784558081</c:v>
                </c:pt>
                <c:pt idx="9">
                  <c:v>78.380958501765221</c:v>
                </c:pt>
                <c:pt idx="10">
                  <c:v>72.575749178248472</c:v>
                </c:pt>
                <c:pt idx="11">
                  <c:v>60.319461850915317</c:v>
                </c:pt>
                <c:pt idx="12">
                  <c:v>60.383318092902343</c:v>
                </c:pt>
                <c:pt idx="13">
                  <c:v>45.61307219162758</c:v>
                </c:pt>
                <c:pt idx="14">
                  <c:v>96.778783919947386</c:v>
                </c:pt>
                <c:pt idx="15">
                  <c:v>94.986747875411638</c:v>
                </c:pt>
                <c:pt idx="16">
                  <c:v>112.43523937971719</c:v>
                </c:pt>
                <c:pt idx="17">
                  <c:v>119.08439428240686</c:v>
                </c:pt>
                <c:pt idx="18">
                  <c:v>130.39021511937352</c:v>
                </c:pt>
                <c:pt idx="19">
                  <c:v>152.45243736984708</c:v>
                </c:pt>
                <c:pt idx="20">
                  <c:v>241.6298251910504</c:v>
                </c:pt>
                <c:pt idx="21">
                  <c:v>250.79096341744503</c:v>
                </c:pt>
                <c:pt idx="22">
                  <c:v>249.35331985176947</c:v>
                </c:pt>
                <c:pt idx="23">
                  <c:v>232.62667382294595</c:v>
                </c:pt>
                <c:pt idx="24">
                  <c:v>168.98508918821574</c:v>
                </c:pt>
                <c:pt idx="25">
                  <c:v>131.23420721031704</c:v>
                </c:pt>
                <c:pt idx="26">
                  <c:v>89.836028474347373</c:v>
                </c:pt>
                <c:pt idx="27">
                  <c:v>74.263720929676055</c:v>
                </c:pt>
                <c:pt idx="28">
                  <c:v>52.203679545190852</c:v>
                </c:pt>
                <c:pt idx="29">
                  <c:v>38.483057710372151</c:v>
                </c:pt>
                <c:pt idx="30">
                  <c:v>32.469271008857646</c:v>
                </c:pt>
                <c:pt idx="31">
                  <c:v>39.103158286228819</c:v>
                </c:pt>
                <c:pt idx="32">
                  <c:v>75.793762782329154</c:v>
                </c:pt>
                <c:pt idx="33">
                  <c:v>112.61924433403675</c:v>
                </c:pt>
                <c:pt idx="34">
                  <c:v>149.34055048195697</c:v>
                </c:pt>
                <c:pt idx="35">
                  <c:v>170.22310732317999</c:v>
                </c:pt>
                <c:pt idx="36">
                  <c:v>164.57345562444965</c:v>
                </c:pt>
                <c:pt idx="37">
                  <c:v>202.80198136555344</c:v>
                </c:pt>
                <c:pt idx="38">
                  <c:v>202.29648493994796</c:v>
                </c:pt>
                <c:pt idx="39">
                  <c:v>157.44465020907191</c:v>
                </c:pt>
                <c:pt idx="40">
                  <c:v>113.17203839091957</c:v>
                </c:pt>
                <c:pt idx="41">
                  <c:v>68.686422793850568</c:v>
                </c:pt>
                <c:pt idx="42">
                  <c:v>33.068102669179275</c:v>
                </c:pt>
                <c:pt idx="43">
                  <c:v>63.482550142373569</c:v>
                </c:pt>
                <c:pt idx="44">
                  <c:v>121.77690009814923</c:v>
                </c:pt>
                <c:pt idx="45">
                  <c:v>175.7680760470659</c:v>
                </c:pt>
                <c:pt idx="46">
                  <c:v>187.19812463866873</c:v>
                </c:pt>
                <c:pt idx="47">
                  <c:v>204.95046356976394</c:v>
                </c:pt>
                <c:pt idx="48">
                  <c:v>188.08026054347792</c:v>
                </c:pt>
                <c:pt idx="49">
                  <c:v>159.6512564354926</c:v>
                </c:pt>
                <c:pt idx="50">
                  <c:v>138.60385211942557</c:v>
                </c:pt>
                <c:pt idx="51">
                  <c:v>99.349312327463849</c:v>
                </c:pt>
                <c:pt idx="52">
                  <c:v>73.489790521500268</c:v>
                </c:pt>
                <c:pt idx="53">
                  <c:v>56.523806593289365</c:v>
                </c:pt>
                <c:pt idx="54">
                  <c:v>64.347210395794349</c:v>
                </c:pt>
                <c:pt idx="55">
                  <c:v>64.910379774471252</c:v>
                </c:pt>
                <c:pt idx="56">
                  <c:v>115.81525451349738</c:v>
                </c:pt>
                <c:pt idx="57">
                  <c:v>168.36871358255871</c:v>
                </c:pt>
                <c:pt idx="58">
                  <c:v>209.23248666459844</c:v>
                </c:pt>
                <c:pt idx="59">
                  <c:v>221.64630726389444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4B-4737-B044-8E5DD46765C5}"/>
            </c:ext>
          </c:extLst>
        </c:ser>
        <c:ser>
          <c:idx val="0"/>
          <c:order val="4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4B-4737-B044-8E5DD4676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1781904"/>
        <c:axId val="80350672"/>
      </c:lineChart>
      <c:catAx>
        <c:axId val="1981781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50672"/>
        <c:crosses val="autoZero"/>
        <c:auto val="1"/>
        <c:lblAlgn val="ctr"/>
        <c:lblOffset val="100"/>
        <c:noMultiLvlLbl val="0"/>
      </c:catAx>
      <c:valAx>
        <c:axId val="80350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78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12572576155267"/>
          <c:y val="3.57425634295713E-2"/>
          <c:w val="0.15389584824624195"/>
          <c:h val="0.39062773403324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3MA_vs_ES_vs_HT_vs_WS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621291656724724E-2"/>
          <c:y val="5.1342592592592592E-2"/>
          <c:w val="0.9462264376043904"/>
          <c:h val="0.89681357538640982"/>
        </c:manualLayout>
      </c:layout>
      <c:lineChart>
        <c:grouping val="stacked"/>
        <c:varyColors val="0"/>
        <c:ser>
          <c:idx val="4"/>
          <c:order val="0"/>
          <c:tx>
            <c:strRef>
              <c:f>Data!$M$1</c:f>
              <c:strCache>
                <c:ptCount val="1"/>
                <c:pt idx="0">
                  <c:v>Winter's Seasonal Method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Data!$M$2:$M$61</c:f>
              <c:numCache>
                <c:formatCode>General</c:formatCode>
                <c:ptCount val="60"/>
                <c:pt idx="13">
                  <c:v>417.3</c:v>
                </c:pt>
                <c:pt idx="14">
                  <c:v>126.39308411214954</c:v>
                </c:pt>
                <c:pt idx="15">
                  <c:v>274.29710579439256</c:v>
                </c:pt>
                <c:pt idx="16">
                  <c:v>112.15042476716788</c:v>
                </c:pt>
                <c:pt idx="17">
                  <c:v>57.744781131760611</c:v>
                </c:pt>
                <c:pt idx="18">
                  <c:v>584.39470223879596</c:v>
                </c:pt>
                <c:pt idx="19">
                  <c:v>189.23258124789311</c:v>
                </c:pt>
                <c:pt idx="20">
                  <c:v>391.58245121361063</c:v>
                </c:pt>
                <c:pt idx="21">
                  <c:v>474.39458061998891</c:v>
                </c:pt>
                <c:pt idx="22">
                  <c:v>214.33343366702189</c:v>
                </c:pt>
                <c:pt idx="23">
                  <c:v>150.4589962810667</c:v>
                </c:pt>
                <c:pt idx="24">
                  <c:v>22.375270456483559</c:v>
                </c:pt>
                <c:pt idx="25">
                  <c:v>162.94409512512473</c:v>
                </c:pt>
                <c:pt idx="26">
                  <c:v>33.103420471512784</c:v>
                </c:pt>
                <c:pt idx="27">
                  <c:v>182.12173427929835</c:v>
                </c:pt>
                <c:pt idx="28">
                  <c:v>147.72347223009459</c:v>
                </c:pt>
                <c:pt idx="29">
                  <c:v>149.25466667447557</c:v>
                </c:pt>
                <c:pt idx="30">
                  <c:v>235.31989840017542</c:v>
                </c:pt>
                <c:pt idx="31">
                  <c:v>276.42402502526863</c:v>
                </c:pt>
                <c:pt idx="32">
                  <c:v>92.024538177926729</c:v>
                </c:pt>
                <c:pt idx="33">
                  <c:v>118.33386556591272</c:v>
                </c:pt>
                <c:pt idx="34">
                  <c:v>110.26126955421302</c:v>
                </c:pt>
                <c:pt idx="35">
                  <c:v>50.064783376480719</c:v>
                </c:pt>
                <c:pt idx="36">
                  <c:v>98.284239591801025</c:v>
                </c:pt>
                <c:pt idx="37">
                  <c:v>121.06136521105988</c:v>
                </c:pt>
                <c:pt idx="38">
                  <c:v>104.863595304011</c:v>
                </c:pt>
                <c:pt idx="39">
                  <c:v>54.427391383423469</c:v>
                </c:pt>
                <c:pt idx="40">
                  <c:v>51.837935458852677</c:v>
                </c:pt>
                <c:pt idx="41">
                  <c:v>55.980982827180078</c:v>
                </c:pt>
                <c:pt idx="42">
                  <c:v>88.252106233891737</c:v>
                </c:pt>
                <c:pt idx="43">
                  <c:v>284.93107352049378</c:v>
                </c:pt>
                <c:pt idx="44">
                  <c:v>313.52398631898063</c:v>
                </c:pt>
                <c:pt idx="45">
                  <c:v>400.0371997540866</c:v>
                </c:pt>
                <c:pt idx="46">
                  <c:v>329.93299358669105</c:v>
                </c:pt>
                <c:pt idx="47">
                  <c:v>181.72983795298879</c:v>
                </c:pt>
                <c:pt idx="48">
                  <c:v>307.06193169901923</c:v>
                </c:pt>
                <c:pt idx="49">
                  <c:v>73.687053152076984</c:v>
                </c:pt>
                <c:pt idx="50">
                  <c:v>9.841814682685186</c:v>
                </c:pt>
                <c:pt idx="51">
                  <c:v>15.687091597309083</c:v>
                </c:pt>
                <c:pt idx="52">
                  <c:v>25.887712457550435</c:v>
                </c:pt>
                <c:pt idx="53">
                  <c:v>46.962119989524297</c:v>
                </c:pt>
                <c:pt idx="54">
                  <c:v>199.66336592090323</c:v>
                </c:pt>
                <c:pt idx="55">
                  <c:v>212.32148882797989</c:v>
                </c:pt>
                <c:pt idx="56">
                  <c:v>201.93655385706398</c:v>
                </c:pt>
                <c:pt idx="57">
                  <c:v>147.47223939312568</c:v>
                </c:pt>
                <c:pt idx="58">
                  <c:v>284.84547657980977</c:v>
                </c:pt>
                <c:pt idx="59">
                  <c:v>197.69161770648105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A4-4A45-8AFE-D15496D7C01B}"/>
            </c:ext>
          </c:extLst>
        </c:ser>
        <c:ser>
          <c:idx val="1"/>
          <c:order val="1"/>
          <c:tx>
            <c:strRef>
              <c:f>Data!$E$1</c:f>
              <c:strCache>
                <c:ptCount val="1"/>
                <c:pt idx="0">
                  <c:v>3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Data!$E$2:$E$61</c:f>
              <c:numCache>
                <c:formatCode>General</c:formatCode>
                <c:ptCount val="60"/>
                <c:pt idx="3">
                  <c:v>104.66666666666667</c:v>
                </c:pt>
                <c:pt idx="4">
                  <c:v>137.33333333333334</c:v>
                </c:pt>
                <c:pt idx="5">
                  <c:v>87.666666666666671</c:v>
                </c:pt>
                <c:pt idx="6">
                  <c:v>79.666666666666671</c:v>
                </c:pt>
                <c:pt idx="7">
                  <c:v>122.66666666666667</c:v>
                </c:pt>
                <c:pt idx="8">
                  <c:v>135.33333333333334</c:v>
                </c:pt>
                <c:pt idx="9">
                  <c:v>178</c:v>
                </c:pt>
                <c:pt idx="10">
                  <c:v>166.33333333333334</c:v>
                </c:pt>
                <c:pt idx="11">
                  <c:v>178.66666666666666</c:v>
                </c:pt>
                <c:pt idx="12">
                  <c:v>168</c:v>
                </c:pt>
                <c:pt idx="13">
                  <c:v>110.33333333333333</c:v>
                </c:pt>
                <c:pt idx="14">
                  <c:v>139.66666666666666</c:v>
                </c:pt>
                <c:pt idx="15">
                  <c:v>112.66666666666667</c:v>
                </c:pt>
                <c:pt idx="16">
                  <c:v>134</c:v>
                </c:pt>
                <c:pt idx="17">
                  <c:v>90.666666666666671</c:v>
                </c:pt>
                <c:pt idx="18">
                  <c:v>115</c:v>
                </c:pt>
                <c:pt idx="19">
                  <c:v>128.33333333333334</c:v>
                </c:pt>
                <c:pt idx="20">
                  <c:v>214.66666666666666</c:v>
                </c:pt>
                <c:pt idx="21">
                  <c:v>217.66666666666666</c:v>
                </c:pt>
                <c:pt idx="22">
                  <c:v>217</c:v>
                </c:pt>
                <c:pt idx="23">
                  <c:v>150.33333333333334</c:v>
                </c:pt>
                <c:pt idx="24">
                  <c:v>123</c:v>
                </c:pt>
                <c:pt idx="25">
                  <c:v>116</c:v>
                </c:pt>
                <c:pt idx="26">
                  <c:v>98.666666666666671</c:v>
                </c:pt>
                <c:pt idx="27">
                  <c:v>130.66666666666666</c:v>
                </c:pt>
                <c:pt idx="28">
                  <c:v>113.33333333333333</c:v>
                </c:pt>
                <c:pt idx="29">
                  <c:v>106</c:v>
                </c:pt>
                <c:pt idx="30">
                  <c:v>82.666666666666671</c:v>
                </c:pt>
                <c:pt idx="31">
                  <c:v>83</c:v>
                </c:pt>
                <c:pt idx="32">
                  <c:v>106.66666666666667</c:v>
                </c:pt>
                <c:pt idx="33">
                  <c:v>127.66666666666667</c:v>
                </c:pt>
                <c:pt idx="34">
                  <c:v>147.33333333333334</c:v>
                </c:pt>
                <c:pt idx="35">
                  <c:v>137.66666666666666</c:v>
                </c:pt>
                <c:pt idx="36">
                  <c:v>118.66666666666667</c:v>
                </c:pt>
                <c:pt idx="37">
                  <c:v>148.66666666666666</c:v>
                </c:pt>
                <c:pt idx="38">
                  <c:v>152.33333333333334</c:v>
                </c:pt>
                <c:pt idx="39">
                  <c:v>138.66666666666666</c:v>
                </c:pt>
                <c:pt idx="40">
                  <c:v>82.666666666666671</c:v>
                </c:pt>
                <c:pt idx="41">
                  <c:v>58.666666666666664</c:v>
                </c:pt>
                <c:pt idx="42">
                  <c:v>66.666666666666671</c:v>
                </c:pt>
                <c:pt idx="43">
                  <c:v>115</c:v>
                </c:pt>
                <c:pt idx="44">
                  <c:v>174.33333333333334</c:v>
                </c:pt>
                <c:pt idx="45">
                  <c:v>222</c:v>
                </c:pt>
                <c:pt idx="46">
                  <c:v>185.66666666666666</c:v>
                </c:pt>
                <c:pt idx="47">
                  <c:v>160.33333333333334</c:v>
                </c:pt>
                <c:pt idx="48">
                  <c:v>123</c:v>
                </c:pt>
                <c:pt idx="49">
                  <c:v>119.66666666666667</c:v>
                </c:pt>
                <c:pt idx="50">
                  <c:v>107.33333333333333</c:v>
                </c:pt>
                <c:pt idx="51">
                  <c:v>98.666666666666671</c:v>
                </c:pt>
                <c:pt idx="52">
                  <c:v>99.666666666666671</c:v>
                </c:pt>
                <c:pt idx="53">
                  <c:v>89.333333333333329</c:v>
                </c:pt>
                <c:pt idx="54">
                  <c:v>112</c:v>
                </c:pt>
                <c:pt idx="55">
                  <c:v>109</c:v>
                </c:pt>
                <c:pt idx="56">
                  <c:v>149.33333333333334</c:v>
                </c:pt>
                <c:pt idx="57">
                  <c:v>171.66666666666666</c:v>
                </c:pt>
                <c:pt idx="58">
                  <c:v>203.66666666666666</c:v>
                </c:pt>
                <c:pt idx="59">
                  <c:v>177.33333333333334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A4-4A45-8AFE-D15496D7C01B}"/>
            </c:ext>
          </c:extLst>
        </c:ser>
        <c:ser>
          <c:idx val="3"/>
          <c:order val="2"/>
          <c:tx>
            <c:strRef>
              <c:f>Data!$I$1</c:f>
              <c:strCache>
                <c:ptCount val="1"/>
                <c:pt idx="0">
                  <c:v>Holt's Trend Method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Data!$I$2:$I$61</c:f>
              <c:numCache>
                <c:formatCode>General</c:formatCode>
                <c:ptCount val="60"/>
                <c:pt idx="1">
                  <c:v>214</c:v>
                </c:pt>
                <c:pt idx="2">
                  <c:v>388</c:v>
                </c:pt>
                <c:pt idx="3">
                  <c:v>443.92000000000007</c:v>
                </c:pt>
                <c:pt idx="4">
                  <c:v>455.30880000000013</c:v>
                </c:pt>
                <c:pt idx="5">
                  <c:v>387.37043200000016</c:v>
                </c:pt>
                <c:pt idx="6">
                  <c:v>271.00046848000011</c:v>
                </c:pt>
                <c:pt idx="7">
                  <c:v>223.46442270720013</c:v>
                </c:pt>
                <c:pt idx="8">
                  <c:v>133.3612784558081</c:v>
                </c:pt>
                <c:pt idx="9">
                  <c:v>78.380958501765221</c:v>
                </c:pt>
                <c:pt idx="10">
                  <c:v>72.575749178248472</c:v>
                </c:pt>
                <c:pt idx="11">
                  <c:v>60.319461850915317</c:v>
                </c:pt>
                <c:pt idx="12">
                  <c:v>60.383318092902343</c:v>
                </c:pt>
                <c:pt idx="13">
                  <c:v>45.61307219162758</c:v>
                </c:pt>
                <c:pt idx="14">
                  <c:v>96.778783919947386</c:v>
                </c:pt>
                <c:pt idx="15">
                  <c:v>94.986747875411638</c:v>
                </c:pt>
                <c:pt idx="16">
                  <c:v>112.43523937971719</c:v>
                </c:pt>
                <c:pt idx="17">
                  <c:v>119.08439428240686</c:v>
                </c:pt>
                <c:pt idx="18">
                  <c:v>130.39021511937352</c:v>
                </c:pt>
                <c:pt idx="19">
                  <c:v>152.45243736984708</c:v>
                </c:pt>
                <c:pt idx="20">
                  <c:v>241.6298251910504</c:v>
                </c:pt>
                <c:pt idx="21">
                  <c:v>250.79096341744503</c:v>
                </c:pt>
                <c:pt idx="22">
                  <c:v>249.35331985176947</c:v>
                </c:pt>
                <c:pt idx="23">
                  <c:v>232.62667382294595</c:v>
                </c:pt>
                <c:pt idx="24">
                  <c:v>168.98508918821574</c:v>
                </c:pt>
                <c:pt idx="25">
                  <c:v>131.23420721031704</c:v>
                </c:pt>
                <c:pt idx="26">
                  <c:v>89.836028474347373</c:v>
                </c:pt>
                <c:pt idx="27">
                  <c:v>74.263720929676055</c:v>
                </c:pt>
                <c:pt idx="28">
                  <c:v>52.203679545190852</c:v>
                </c:pt>
                <c:pt idx="29">
                  <c:v>38.483057710372151</c:v>
                </c:pt>
                <c:pt idx="30">
                  <c:v>32.469271008857646</c:v>
                </c:pt>
                <c:pt idx="31">
                  <c:v>39.103158286228819</c:v>
                </c:pt>
                <c:pt idx="32">
                  <c:v>75.793762782329154</c:v>
                </c:pt>
                <c:pt idx="33">
                  <c:v>112.61924433403675</c:v>
                </c:pt>
                <c:pt idx="34">
                  <c:v>149.34055048195697</c:v>
                </c:pt>
                <c:pt idx="35">
                  <c:v>170.22310732317999</c:v>
                </c:pt>
                <c:pt idx="36">
                  <c:v>164.57345562444965</c:v>
                </c:pt>
                <c:pt idx="37">
                  <c:v>202.80198136555344</c:v>
                </c:pt>
                <c:pt idx="38">
                  <c:v>202.29648493994796</c:v>
                </c:pt>
                <c:pt idx="39">
                  <c:v>157.44465020907191</c:v>
                </c:pt>
                <c:pt idx="40">
                  <c:v>113.17203839091957</c:v>
                </c:pt>
                <c:pt idx="41">
                  <c:v>68.686422793850568</c:v>
                </c:pt>
                <c:pt idx="42">
                  <c:v>33.068102669179275</c:v>
                </c:pt>
                <c:pt idx="43">
                  <c:v>63.482550142373569</c:v>
                </c:pt>
                <c:pt idx="44">
                  <c:v>121.77690009814923</c:v>
                </c:pt>
                <c:pt idx="45">
                  <c:v>175.7680760470659</c:v>
                </c:pt>
                <c:pt idx="46">
                  <c:v>187.19812463866873</c:v>
                </c:pt>
                <c:pt idx="47">
                  <c:v>204.95046356976394</c:v>
                </c:pt>
                <c:pt idx="48">
                  <c:v>188.08026054347792</c:v>
                </c:pt>
                <c:pt idx="49">
                  <c:v>159.6512564354926</c:v>
                </c:pt>
                <c:pt idx="50">
                  <c:v>138.60385211942557</c:v>
                </c:pt>
                <c:pt idx="51">
                  <c:v>99.349312327463849</c:v>
                </c:pt>
                <c:pt idx="52">
                  <c:v>73.489790521500268</c:v>
                </c:pt>
                <c:pt idx="53">
                  <c:v>56.523806593289365</c:v>
                </c:pt>
                <c:pt idx="54">
                  <c:v>64.347210395794349</c:v>
                </c:pt>
                <c:pt idx="55">
                  <c:v>64.910379774471252</c:v>
                </c:pt>
                <c:pt idx="56">
                  <c:v>115.81525451349738</c:v>
                </c:pt>
                <c:pt idx="57">
                  <c:v>168.36871358255871</c:v>
                </c:pt>
                <c:pt idx="58">
                  <c:v>209.23248666459844</c:v>
                </c:pt>
                <c:pt idx="59">
                  <c:v>221.64630726389444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A4-4A45-8AFE-D15496D7C01B}"/>
            </c:ext>
          </c:extLst>
        </c:ser>
        <c:ser>
          <c:idx val="2"/>
          <c:order val="3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A4-4A45-8AFE-D15496D7C01B}"/>
            </c:ext>
          </c:extLst>
        </c:ser>
        <c:ser>
          <c:idx val="0"/>
          <c:order val="4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A4-4A45-8AFE-D15496D7C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464608"/>
        <c:axId val="1586627568"/>
      </c:lineChart>
      <c:catAx>
        <c:axId val="1408464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627568"/>
        <c:crosses val="autoZero"/>
        <c:auto val="1"/>
        <c:lblAlgn val="ctr"/>
        <c:lblOffset val="100"/>
        <c:noMultiLvlLbl val="0"/>
      </c:catAx>
      <c:valAx>
        <c:axId val="1586627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46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24729579257127"/>
          <c:y val="5.0264654418197725E-2"/>
          <c:w val="0.14813827248866618"/>
          <c:h val="0.39062773403324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510180545613619E-2"/>
          <c:y val="4.6712962962962963E-2"/>
          <c:w val="0.92501431639226916"/>
          <c:h val="0.88755431612715074"/>
        </c:manualLayout>
      </c:layout>
      <c:lineChart>
        <c:grouping val="stacked"/>
        <c:varyColors val="0"/>
        <c:ser>
          <c:idx val="4"/>
          <c:order val="0"/>
          <c:tx>
            <c:strRef>
              <c:f>Data!$M$1</c:f>
              <c:strCache>
                <c:ptCount val="1"/>
                <c:pt idx="0">
                  <c:v>Winter's Seasonal Method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Data!$M$2:$M$61</c:f>
              <c:numCache>
                <c:formatCode>General</c:formatCode>
                <c:ptCount val="60"/>
                <c:pt idx="13">
                  <c:v>417.3</c:v>
                </c:pt>
                <c:pt idx="14">
                  <c:v>126.39308411214954</c:v>
                </c:pt>
                <c:pt idx="15">
                  <c:v>274.29710579439256</c:v>
                </c:pt>
                <c:pt idx="16">
                  <c:v>112.15042476716788</c:v>
                </c:pt>
                <c:pt idx="17">
                  <c:v>57.744781131760611</c:v>
                </c:pt>
                <c:pt idx="18">
                  <c:v>584.39470223879596</c:v>
                </c:pt>
                <c:pt idx="19">
                  <c:v>189.23258124789311</c:v>
                </c:pt>
                <c:pt idx="20">
                  <c:v>391.58245121361063</c:v>
                </c:pt>
                <c:pt idx="21">
                  <c:v>474.39458061998891</c:v>
                </c:pt>
                <c:pt idx="22">
                  <c:v>214.33343366702189</c:v>
                </c:pt>
                <c:pt idx="23">
                  <c:v>150.4589962810667</c:v>
                </c:pt>
                <c:pt idx="24">
                  <c:v>22.375270456483559</c:v>
                </c:pt>
                <c:pt idx="25">
                  <c:v>162.94409512512473</c:v>
                </c:pt>
                <c:pt idx="26">
                  <c:v>33.103420471512784</c:v>
                </c:pt>
                <c:pt idx="27">
                  <c:v>182.12173427929835</c:v>
                </c:pt>
                <c:pt idx="28">
                  <c:v>147.72347223009459</c:v>
                </c:pt>
                <c:pt idx="29">
                  <c:v>149.25466667447557</c:v>
                </c:pt>
                <c:pt idx="30">
                  <c:v>235.31989840017542</c:v>
                </c:pt>
                <c:pt idx="31">
                  <c:v>276.42402502526863</c:v>
                </c:pt>
                <c:pt idx="32">
                  <c:v>92.024538177926729</c:v>
                </c:pt>
                <c:pt idx="33">
                  <c:v>118.33386556591272</c:v>
                </c:pt>
                <c:pt idx="34">
                  <c:v>110.26126955421302</c:v>
                </c:pt>
                <c:pt idx="35">
                  <c:v>50.064783376480719</c:v>
                </c:pt>
                <c:pt idx="36">
                  <c:v>98.284239591801025</c:v>
                </c:pt>
                <c:pt idx="37">
                  <c:v>121.06136521105988</c:v>
                </c:pt>
                <c:pt idx="38">
                  <c:v>104.863595304011</c:v>
                </c:pt>
                <c:pt idx="39">
                  <c:v>54.427391383423469</c:v>
                </c:pt>
                <c:pt idx="40">
                  <c:v>51.837935458852677</c:v>
                </c:pt>
                <c:pt idx="41">
                  <c:v>55.980982827180078</c:v>
                </c:pt>
                <c:pt idx="42">
                  <c:v>88.252106233891737</c:v>
                </c:pt>
                <c:pt idx="43">
                  <c:v>284.93107352049378</c:v>
                </c:pt>
                <c:pt idx="44">
                  <c:v>313.52398631898063</c:v>
                </c:pt>
                <c:pt idx="45">
                  <c:v>400.0371997540866</c:v>
                </c:pt>
                <c:pt idx="46">
                  <c:v>329.93299358669105</c:v>
                </c:pt>
                <c:pt idx="47">
                  <c:v>181.72983795298879</c:v>
                </c:pt>
                <c:pt idx="48">
                  <c:v>307.06193169901923</c:v>
                </c:pt>
                <c:pt idx="49">
                  <c:v>73.687053152076984</c:v>
                </c:pt>
                <c:pt idx="50">
                  <c:v>9.841814682685186</c:v>
                </c:pt>
                <c:pt idx="51">
                  <c:v>15.687091597309083</c:v>
                </c:pt>
                <c:pt idx="52">
                  <c:v>25.887712457550435</c:v>
                </c:pt>
                <c:pt idx="53">
                  <c:v>46.962119989524297</c:v>
                </c:pt>
                <c:pt idx="54">
                  <c:v>199.66336592090323</c:v>
                </c:pt>
                <c:pt idx="55">
                  <c:v>212.32148882797989</c:v>
                </c:pt>
                <c:pt idx="56">
                  <c:v>201.93655385706398</c:v>
                </c:pt>
                <c:pt idx="57">
                  <c:v>147.47223939312568</c:v>
                </c:pt>
                <c:pt idx="58">
                  <c:v>284.84547657980977</c:v>
                </c:pt>
                <c:pt idx="59">
                  <c:v>197.69161770648105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12-42A8-A883-A3E4C4BA35D9}"/>
            </c:ext>
          </c:extLst>
        </c:ser>
        <c:ser>
          <c:idx val="1"/>
          <c:order val="1"/>
          <c:tx>
            <c:strRef>
              <c:f>Data!$N$1</c:f>
              <c:strCache>
                <c:ptCount val="1"/>
                <c:pt idx="0">
                  <c:v>14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Data!$N$2:$N$61</c:f>
              <c:numCache>
                <c:formatCode>General</c:formatCode>
                <c:ptCount val="60"/>
                <c:pt idx="16">
                  <c:v>128.42857142857142</c:v>
                </c:pt>
                <c:pt idx="17">
                  <c:v>131.14285714285714</c:v>
                </c:pt>
                <c:pt idx="18">
                  <c:v>130.14285714285714</c:v>
                </c:pt>
                <c:pt idx="19">
                  <c:v>137.14285714285714</c:v>
                </c:pt>
                <c:pt idx="20">
                  <c:v>160.07142857142858</c:v>
                </c:pt>
                <c:pt idx="21">
                  <c:v>150.5</c:v>
                </c:pt>
                <c:pt idx="22">
                  <c:v>154.64285714285714</c:v>
                </c:pt>
                <c:pt idx="23">
                  <c:v>154.14285714285714</c:v>
                </c:pt>
                <c:pt idx="24">
                  <c:v>141.21428571428572</c:v>
                </c:pt>
                <c:pt idx="25">
                  <c:v>141.21428571428572</c:v>
                </c:pt>
                <c:pt idx="26">
                  <c:v>139.28571428571428</c:v>
                </c:pt>
                <c:pt idx="27">
                  <c:v>145.57142857142858</c:v>
                </c:pt>
                <c:pt idx="28">
                  <c:v>135.57142857142858</c:v>
                </c:pt>
                <c:pt idx="29">
                  <c:v>137.85714285714286</c:v>
                </c:pt>
                <c:pt idx="30">
                  <c:v>134.57142857142858</c:v>
                </c:pt>
                <c:pt idx="31">
                  <c:v>133.92857142857142</c:v>
                </c:pt>
                <c:pt idx="32">
                  <c:v>136.07142857142858</c:v>
                </c:pt>
                <c:pt idx="33">
                  <c:v>134.42857142857142</c:v>
                </c:pt>
                <c:pt idx="34">
                  <c:v>119.5</c:v>
                </c:pt>
                <c:pt idx="35">
                  <c:v>118.92857142857143</c:v>
                </c:pt>
                <c:pt idx="36">
                  <c:v>113.35714285714286</c:v>
                </c:pt>
                <c:pt idx="37">
                  <c:v>119.14285714285714</c:v>
                </c:pt>
                <c:pt idx="38">
                  <c:v>125.21428571428571</c:v>
                </c:pt>
                <c:pt idx="39">
                  <c:v>118.21428571428571</c:v>
                </c:pt>
                <c:pt idx="40">
                  <c:v>115.71428571428571</c:v>
                </c:pt>
                <c:pt idx="41">
                  <c:v>109.78571428571429</c:v>
                </c:pt>
                <c:pt idx="42">
                  <c:v>108.21428571428571</c:v>
                </c:pt>
                <c:pt idx="43">
                  <c:v>117.64285714285714</c:v>
                </c:pt>
                <c:pt idx="44">
                  <c:v>129.42857142857142</c:v>
                </c:pt>
                <c:pt idx="45">
                  <c:v>138</c:v>
                </c:pt>
                <c:pt idx="46">
                  <c:v>134.57142857142858</c:v>
                </c:pt>
                <c:pt idx="47">
                  <c:v>136.42857142857142</c:v>
                </c:pt>
                <c:pt idx="48">
                  <c:v>132.78571428571428</c:v>
                </c:pt>
                <c:pt idx="49">
                  <c:v>130.71428571428572</c:v>
                </c:pt>
                <c:pt idx="50">
                  <c:v>134</c:v>
                </c:pt>
                <c:pt idx="51">
                  <c:v>122.07142857142857</c:v>
                </c:pt>
                <c:pt idx="52">
                  <c:v>119.42857142857143</c:v>
                </c:pt>
                <c:pt idx="53">
                  <c:v>123.42857142857143</c:v>
                </c:pt>
                <c:pt idx="54">
                  <c:v>128.35714285714286</c:v>
                </c:pt>
                <c:pt idx="55">
                  <c:v>130.21428571428572</c:v>
                </c:pt>
                <c:pt idx="56">
                  <c:v>141.14285714285714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12-42A8-A883-A3E4C4BA35D9}"/>
            </c:ext>
          </c:extLst>
        </c:ser>
        <c:ser>
          <c:idx val="2"/>
          <c:order val="2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12-42A8-A883-A3E4C4BA35D9}"/>
            </c:ext>
          </c:extLst>
        </c:ser>
        <c:ser>
          <c:idx val="3"/>
          <c:order val="3"/>
          <c:tx>
            <c:strRef>
              <c:f>Data!$I$1</c:f>
              <c:strCache>
                <c:ptCount val="1"/>
                <c:pt idx="0">
                  <c:v>Holt's Trend Method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Data!$I$2:$I$61</c:f>
              <c:numCache>
                <c:formatCode>General</c:formatCode>
                <c:ptCount val="60"/>
                <c:pt idx="1">
                  <c:v>214</c:v>
                </c:pt>
                <c:pt idx="2">
                  <c:v>388</c:v>
                </c:pt>
                <c:pt idx="3">
                  <c:v>443.92000000000007</c:v>
                </c:pt>
                <c:pt idx="4">
                  <c:v>455.30880000000013</c:v>
                </c:pt>
                <c:pt idx="5">
                  <c:v>387.37043200000016</c:v>
                </c:pt>
                <c:pt idx="6">
                  <c:v>271.00046848000011</c:v>
                </c:pt>
                <c:pt idx="7">
                  <c:v>223.46442270720013</c:v>
                </c:pt>
                <c:pt idx="8">
                  <c:v>133.3612784558081</c:v>
                </c:pt>
                <c:pt idx="9">
                  <c:v>78.380958501765221</c:v>
                </c:pt>
                <c:pt idx="10">
                  <c:v>72.575749178248472</c:v>
                </c:pt>
                <c:pt idx="11">
                  <c:v>60.319461850915317</c:v>
                </c:pt>
                <c:pt idx="12">
                  <c:v>60.383318092902343</c:v>
                </c:pt>
                <c:pt idx="13">
                  <c:v>45.61307219162758</c:v>
                </c:pt>
                <c:pt idx="14">
                  <c:v>96.778783919947386</c:v>
                </c:pt>
                <c:pt idx="15">
                  <c:v>94.986747875411638</c:v>
                </c:pt>
                <c:pt idx="16">
                  <c:v>112.43523937971719</c:v>
                </c:pt>
                <c:pt idx="17">
                  <c:v>119.08439428240686</c:v>
                </c:pt>
                <c:pt idx="18">
                  <c:v>130.39021511937352</c:v>
                </c:pt>
                <c:pt idx="19">
                  <c:v>152.45243736984708</c:v>
                </c:pt>
                <c:pt idx="20">
                  <c:v>241.6298251910504</c:v>
                </c:pt>
                <c:pt idx="21">
                  <c:v>250.79096341744503</c:v>
                </c:pt>
                <c:pt idx="22">
                  <c:v>249.35331985176947</c:v>
                </c:pt>
                <c:pt idx="23">
                  <c:v>232.62667382294595</c:v>
                </c:pt>
                <c:pt idx="24">
                  <c:v>168.98508918821574</c:v>
                </c:pt>
                <c:pt idx="25">
                  <c:v>131.23420721031704</c:v>
                </c:pt>
                <c:pt idx="26">
                  <c:v>89.836028474347373</c:v>
                </c:pt>
                <c:pt idx="27">
                  <c:v>74.263720929676055</c:v>
                </c:pt>
                <c:pt idx="28">
                  <c:v>52.203679545190852</c:v>
                </c:pt>
                <c:pt idx="29">
                  <c:v>38.483057710372151</c:v>
                </c:pt>
                <c:pt idx="30">
                  <c:v>32.469271008857646</c:v>
                </c:pt>
                <c:pt idx="31">
                  <c:v>39.103158286228819</c:v>
                </c:pt>
                <c:pt idx="32">
                  <c:v>75.793762782329154</c:v>
                </c:pt>
                <c:pt idx="33">
                  <c:v>112.61924433403675</c:v>
                </c:pt>
                <c:pt idx="34">
                  <c:v>149.34055048195697</c:v>
                </c:pt>
                <c:pt idx="35">
                  <c:v>170.22310732317999</c:v>
                </c:pt>
                <c:pt idx="36">
                  <c:v>164.57345562444965</c:v>
                </c:pt>
                <c:pt idx="37">
                  <c:v>202.80198136555344</c:v>
                </c:pt>
                <c:pt idx="38">
                  <c:v>202.29648493994796</c:v>
                </c:pt>
                <c:pt idx="39">
                  <c:v>157.44465020907191</c:v>
                </c:pt>
                <c:pt idx="40">
                  <c:v>113.17203839091957</c:v>
                </c:pt>
                <c:pt idx="41">
                  <c:v>68.686422793850568</c:v>
                </c:pt>
                <c:pt idx="42">
                  <c:v>33.068102669179275</c:v>
                </c:pt>
                <c:pt idx="43">
                  <c:v>63.482550142373569</c:v>
                </c:pt>
                <c:pt idx="44">
                  <c:v>121.77690009814923</c:v>
                </c:pt>
                <c:pt idx="45">
                  <c:v>175.7680760470659</c:v>
                </c:pt>
                <c:pt idx="46">
                  <c:v>187.19812463866873</c:v>
                </c:pt>
                <c:pt idx="47">
                  <c:v>204.95046356976394</c:v>
                </c:pt>
                <c:pt idx="48">
                  <c:v>188.08026054347792</c:v>
                </c:pt>
                <c:pt idx="49">
                  <c:v>159.6512564354926</c:v>
                </c:pt>
                <c:pt idx="50">
                  <c:v>138.60385211942557</c:v>
                </c:pt>
                <c:pt idx="51">
                  <c:v>99.349312327463849</c:v>
                </c:pt>
                <c:pt idx="52">
                  <c:v>73.489790521500268</c:v>
                </c:pt>
                <c:pt idx="53">
                  <c:v>56.523806593289365</c:v>
                </c:pt>
                <c:pt idx="54">
                  <c:v>64.347210395794349</c:v>
                </c:pt>
                <c:pt idx="55">
                  <c:v>64.910379774471252</c:v>
                </c:pt>
                <c:pt idx="56">
                  <c:v>115.81525451349738</c:v>
                </c:pt>
                <c:pt idx="57">
                  <c:v>168.36871358255871</c:v>
                </c:pt>
                <c:pt idx="58">
                  <c:v>209.23248666459844</c:v>
                </c:pt>
                <c:pt idx="59">
                  <c:v>221.64630726389444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12-42A8-A883-A3E4C4BA35D9}"/>
            </c:ext>
          </c:extLst>
        </c:ser>
        <c:ser>
          <c:idx val="0"/>
          <c:order val="4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12-42A8-A883-A3E4C4BA3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250527"/>
        <c:axId val="1002446831"/>
      </c:lineChart>
      <c:catAx>
        <c:axId val="10042505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446831"/>
        <c:crosses val="autoZero"/>
        <c:auto val="1"/>
        <c:lblAlgn val="ctr"/>
        <c:lblOffset val="100"/>
        <c:noMultiLvlLbl val="0"/>
      </c:catAx>
      <c:valAx>
        <c:axId val="10024468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250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308567963095525"/>
          <c:y val="4.5635024788568096E-2"/>
          <c:w val="0.15389584824624195"/>
          <c:h val="0.39062773403324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6MA_vs_ES_vs_HT_vs_WS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543307086614E-2"/>
          <c:y val="3.7453703703703704E-2"/>
          <c:w val="0.92981229619024897"/>
          <c:h val="0.88292468649752109"/>
        </c:manualLayout>
      </c:layout>
      <c:lineChart>
        <c:grouping val="stacked"/>
        <c:varyColors val="0"/>
        <c:ser>
          <c:idx val="4"/>
          <c:order val="0"/>
          <c:tx>
            <c:strRef>
              <c:f>Data!$M$1</c:f>
              <c:strCache>
                <c:ptCount val="1"/>
                <c:pt idx="0">
                  <c:v>Winter's Seasonal Method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Data!$M$2:$M$61</c:f>
              <c:numCache>
                <c:formatCode>General</c:formatCode>
                <c:ptCount val="60"/>
                <c:pt idx="13">
                  <c:v>417.3</c:v>
                </c:pt>
                <c:pt idx="14">
                  <c:v>126.39308411214954</c:v>
                </c:pt>
                <c:pt idx="15">
                  <c:v>274.29710579439256</c:v>
                </c:pt>
                <c:pt idx="16">
                  <c:v>112.15042476716788</c:v>
                </c:pt>
                <c:pt idx="17">
                  <c:v>57.744781131760611</c:v>
                </c:pt>
                <c:pt idx="18">
                  <c:v>584.39470223879596</c:v>
                </c:pt>
                <c:pt idx="19">
                  <c:v>189.23258124789311</c:v>
                </c:pt>
                <c:pt idx="20">
                  <c:v>391.58245121361063</c:v>
                </c:pt>
                <c:pt idx="21">
                  <c:v>474.39458061998891</c:v>
                </c:pt>
                <c:pt idx="22">
                  <c:v>214.33343366702189</c:v>
                </c:pt>
                <c:pt idx="23">
                  <c:v>150.4589962810667</c:v>
                </c:pt>
                <c:pt idx="24">
                  <c:v>22.375270456483559</c:v>
                </c:pt>
                <c:pt idx="25">
                  <c:v>162.94409512512473</c:v>
                </c:pt>
                <c:pt idx="26">
                  <c:v>33.103420471512784</c:v>
                </c:pt>
                <c:pt idx="27">
                  <c:v>182.12173427929835</c:v>
                </c:pt>
                <c:pt idx="28">
                  <c:v>147.72347223009459</c:v>
                </c:pt>
                <c:pt idx="29">
                  <c:v>149.25466667447557</c:v>
                </c:pt>
                <c:pt idx="30">
                  <c:v>235.31989840017542</c:v>
                </c:pt>
                <c:pt idx="31">
                  <c:v>276.42402502526863</c:v>
                </c:pt>
                <c:pt idx="32">
                  <c:v>92.024538177926729</c:v>
                </c:pt>
                <c:pt idx="33">
                  <c:v>118.33386556591272</c:v>
                </c:pt>
                <c:pt idx="34">
                  <c:v>110.26126955421302</c:v>
                </c:pt>
                <c:pt idx="35">
                  <c:v>50.064783376480719</c:v>
                </c:pt>
                <c:pt idx="36">
                  <c:v>98.284239591801025</c:v>
                </c:pt>
                <c:pt idx="37">
                  <c:v>121.06136521105988</c:v>
                </c:pt>
                <c:pt idx="38">
                  <c:v>104.863595304011</c:v>
                </c:pt>
                <c:pt idx="39">
                  <c:v>54.427391383423469</c:v>
                </c:pt>
                <c:pt idx="40">
                  <c:v>51.837935458852677</c:v>
                </c:pt>
                <c:pt idx="41">
                  <c:v>55.980982827180078</c:v>
                </c:pt>
                <c:pt idx="42">
                  <c:v>88.252106233891737</c:v>
                </c:pt>
                <c:pt idx="43">
                  <c:v>284.93107352049378</c:v>
                </c:pt>
                <c:pt idx="44">
                  <c:v>313.52398631898063</c:v>
                </c:pt>
                <c:pt idx="45">
                  <c:v>400.0371997540866</c:v>
                </c:pt>
                <c:pt idx="46">
                  <c:v>329.93299358669105</c:v>
                </c:pt>
                <c:pt idx="47">
                  <c:v>181.72983795298879</c:v>
                </c:pt>
                <c:pt idx="48">
                  <c:v>307.06193169901923</c:v>
                </c:pt>
                <c:pt idx="49">
                  <c:v>73.687053152076984</c:v>
                </c:pt>
                <c:pt idx="50">
                  <c:v>9.841814682685186</c:v>
                </c:pt>
                <c:pt idx="51">
                  <c:v>15.687091597309083</c:v>
                </c:pt>
                <c:pt idx="52">
                  <c:v>25.887712457550435</c:v>
                </c:pt>
                <c:pt idx="53">
                  <c:v>46.962119989524297</c:v>
                </c:pt>
                <c:pt idx="54">
                  <c:v>199.66336592090323</c:v>
                </c:pt>
                <c:pt idx="55">
                  <c:v>212.32148882797989</c:v>
                </c:pt>
                <c:pt idx="56">
                  <c:v>201.93655385706398</c:v>
                </c:pt>
                <c:pt idx="57">
                  <c:v>147.47223939312568</c:v>
                </c:pt>
                <c:pt idx="58">
                  <c:v>284.84547657980977</c:v>
                </c:pt>
                <c:pt idx="59">
                  <c:v>197.69161770648105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CA-4C09-B6FE-854D9F2FF9BC}"/>
            </c:ext>
          </c:extLst>
        </c:ser>
        <c:ser>
          <c:idx val="1"/>
          <c:order val="1"/>
          <c:tx>
            <c:strRef>
              <c:f>Data!$O$1</c:f>
              <c:strCache>
                <c:ptCount val="1"/>
                <c:pt idx="0">
                  <c:v>6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Data!$O$2:$O$61</c:f>
              <c:numCache>
                <c:formatCode>General</c:formatCode>
                <c:ptCount val="60"/>
                <c:pt idx="6">
                  <c:v>92.166666666666671</c:v>
                </c:pt>
                <c:pt idx="7">
                  <c:v>130</c:v>
                </c:pt>
                <c:pt idx="8">
                  <c:v>111.5</c:v>
                </c:pt>
                <c:pt idx="9">
                  <c:v>128.83333333333334</c:v>
                </c:pt>
                <c:pt idx="10">
                  <c:v>144.5</c:v>
                </c:pt>
                <c:pt idx="11">
                  <c:v>157</c:v>
                </c:pt>
                <c:pt idx="12">
                  <c:v>173</c:v>
                </c:pt>
                <c:pt idx="13">
                  <c:v>138.33333333333334</c:v>
                </c:pt>
                <c:pt idx="14">
                  <c:v>159.16666666666666</c:v>
                </c:pt>
                <c:pt idx="15">
                  <c:v>140.33333333333334</c:v>
                </c:pt>
                <c:pt idx="16">
                  <c:v>122.16666666666667</c:v>
                </c:pt>
                <c:pt idx="17">
                  <c:v>115.16666666666667</c:v>
                </c:pt>
                <c:pt idx="18">
                  <c:v>113.83333333333333</c:v>
                </c:pt>
                <c:pt idx="19">
                  <c:v>131.16666666666666</c:v>
                </c:pt>
                <c:pt idx="20">
                  <c:v>152.66666666666666</c:v>
                </c:pt>
                <c:pt idx="21">
                  <c:v>166.33333333333334</c:v>
                </c:pt>
                <c:pt idx="22">
                  <c:v>172.66666666666666</c:v>
                </c:pt>
                <c:pt idx="23">
                  <c:v>182.5</c:v>
                </c:pt>
                <c:pt idx="24">
                  <c:v>170.33333333333334</c:v>
                </c:pt>
                <c:pt idx="25">
                  <c:v>166.5</c:v>
                </c:pt>
                <c:pt idx="26">
                  <c:v>124.5</c:v>
                </c:pt>
                <c:pt idx="27">
                  <c:v>126.83333333333333</c:v>
                </c:pt>
                <c:pt idx="28">
                  <c:v>114.66666666666667</c:v>
                </c:pt>
                <c:pt idx="29">
                  <c:v>102.33333333333333</c:v>
                </c:pt>
                <c:pt idx="30">
                  <c:v>106.66666666666667</c:v>
                </c:pt>
                <c:pt idx="31">
                  <c:v>98.166666666666671</c:v>
                </c:pt>
                <c:pt idx="32">
                  <c:v>106.33333333333333</c:v>
                </c:pt>
                <c:pt idx="33">
                  <c:v>105.16666666666667</c:v>
                </c:pt>
                <c:pt idx="34">
                  <c:v>115.16666666666667</c:v>
                </c:pt>
                <c:pt idx="35">
                  <c:v>122.16666666666667</c:v>
                </c:pt>
                <c:pt idx="36">
                  <c:v>123.16666666666667</c:v>
                </c:pt>
                <c:pt idx="37">
                  <c:v>148</c:v>
                </c:pt>
                <c:pt idx="38">
                  <c:v>145</c:v>
                </c:pt>
                <c:pt idx="39">
                  <c:v>128.66666666666666</c:v>
                </c:pt>
                <c:pt idx="40">
                  <c:v>115.66666666666667</c:v>
                </c:pt>
                <c:pt idx="41">
                  <c:v>105.5</c:v>
                </c:pt>
                <c:pt idx="42">
                  <c:v>102.66666666666667</c:v>
                </c:pt>
                <c:pt idx="43">
                  <c:v>98.833333333333329</c:v>
                </c:pt>
                <c:pt idx="44">
                  <c:v>116.5</c:v>
                </c:pt>
                <c:pt idx="45">
                  <c:v>144.33333333333334</c:v>
                </c:pt>
                <c:pt idx="46">
                  <c:v>150.33333333333334</c:v>
                </c:pt>
                <c:pt idx="47">
                  <c:v>167.33333333333334</c:v>
                </c:pt>
                <c:pt idx="48">
                  <c:v>172.5</c:v>
                </c:pt>
                <c:pt idx="49">
                  <c:v>152.66666666666666</c:v>
                </c:pt>
                <c:pt idx="50">
                  <c:v>133.83333333333334</c:v>
                </c:pt>
                <c:pt idx="51">
                  <c:v>110.83333333333333</c:v>
                </c:pt>
                <c:pt idx="52">
                  <c:v>109.66666666666667</c:v>
                </c:pt>
                <c:pt idx="53">
                  <c:v>98.333333333333329</c:v>
                </c:pt>
                <c:pt idx="54">
                  <c:v>105.33333333333333</c:v>
                </c:pt>
                <c:pt idx="55">
                  <c:v>104.33333333333333</c:v>
                </c:pt>
                <c:pt idx="56">
                  <c:v>119.33333333333333</c:v>
                </c:pt>
                <c:pt idx="57">
                  <c:v>141.83333333333334</c:v>
                </c:pt>
                <c:pt idx="58">
                  <c:v>156.33333333333334</c:v>
                </c:pt>
                <c:pt idx="59">
                  <c:v>163.33333333333334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CA-4C09-B6FE-854D9F2FF9BC}"/>
            </c:ext>
          </c:extLst>
        </c:ser>
        <c:ser>
          <c:idx val="2"/>
          <c:order val="2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CA-4C09-B6FE-854D9F2FF9BC}"/>
            </c:ext>
          </c:extLst>
        </c:ser>
        <c:ser>
          <c:idx val="3"/>
          <c:order val="3"/>
          <c:tx>
            <c:strRef>
              <c:f>Data!$I$1</c:f>
              <c:strCache>
                <c:ptCount val="1"/>
                <c:pt idx="0">
                  <c:v>Holt's Trend Method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Data!$I$2:$I$61</c:f>
              <c:numCache>
                <c:formatCode>General</c:formatCode>
                <c:ptCount val="60"/>
                <c:pt idx="1">
                  <c:v>214</c:v>
                </c:pt>
                <c:pt idx="2">
                  <c:v>388</c:v>
                </c:pt>
                <c:pt idx="3">
                  <c:v>443.92000000000007</c:v>
                </c:pt>
                <c:pt idx="4">
                  <c:v>455.30880000000013</c:v>
                </c:pt>
                <c:pt idx="5">
                  <c:v>387.37043200000016</c:v>
                </c:pt>
                <c:pt idx="6">
                  <c:v>271.00046848000011</c:v>
                </c:pt>
                <c:pt idx="7">
                  <c:v>223.46442270720013</c:v>
                </c:pt>
                <c:pt idx="8">
                  <c:v>133.3612784558081</c:v>
                </c:pt>
                <c:pt idx="9">
                  <c:v>78.380958501765221</c:v>
                </c:pt>
                <c:pt idx="10">
                  <c:v>72.575749178248472</c:v>
                </c:pt>
                <c:pt idx="11">
                  <c:v>60.319461850915317</c:v>
                </c:pt>
                <c:pt idx="12">
                  <c:v>60.383318092902343</c:v>
                </c:pt>
                <c:pt idx="13">
                  <c:v>45.61307219162758</c:v>
                </c:pt>
                <c:pt idx="14">
                  <c:v>96.778783919947386</c:v>
                </c:pt>
                <c:pt idx="15">
                  <c:v>94.986747875411638</c:v>
                </c:pt>
                <c:pt idx="16">
                  <c:v>112.43523937971719</c:v>
                </c:pt>
                <c:pt idx="17">
                  <c:v>119.08439428240686</c:v>
                </c:pt>
                <c:pt idx="18">
                  <c:v>130.39021511937352</c:v>
                </c:pt>
                <c:pt idx="19">
                  <c:v>152.45243736984708</c:v>
                </c:pt>
                <c:pt idx="20">
                  <c:v>241.6298251910504</c:v>
                </c:pt>
                <c:pt idx="21">
                  <c:v>250.79096341744503</c:v>
                </c:pt>
                <c:pt idx="22">
                  <c:v>249.35331985176947</c:v>
                </c:pt>
                <c:pt idx="23">
                  <c:v>232.62667382294595</c:v>
                </c:pt>
                <c:pt idx="24">
                  <c:v>168.98508918821574</c:v>
                </c:pt>
                <c:pt idx="25">
                  <c:v>131.23420721031704</c:v>
                </c:pt>
                <c:pt idx="26">
                  <c:v>89.836028474347373</c:v>
                </c:pt>
                <c:pt idx="27">
                  <c:v>74.263720929676055</c:v>
                </c:pt>
                <c:pt idx="28">
                  <c:v>52.203679545190852</c:v>
                </c:pt>
                <c:pt idx="29">
                  <c:v>38.483057710372151</c:v>
                </c:pt>
                <c:pt idx="30">
                  <c:v>32.469271008857646</c:v>
                </c:pt>
                <c:pt idx="31">
                  <c:v>39.103158286228819</c:v>
                </c:pt>
                <c:pt idx="32">
                  <c:v>75.793762782329154</c:v>
                </c:pt>
                <c:pt idx="33">
                  <c:v>112.61924433403675</c:v>
                </c:pt>
                <c:pt idx="34">
                  <c:v>149.34055048195697</c:v>
                </c:pt>
                <c:pt idx="35">
                  <c:v>170.22310732317999</c:v>
                </c:pt>
                <c:pt idx="36">
                  <c:v>164.57345562444965</c:v>
                </c:pt>
                <c:pt idx="37">
                  <c:v>202.80198136555344</c:v>
                </c:pt>
                <c:pt idx="38">
                  <c:v>202.29648493994796</c:v>
                </c:pt>
                <c:pt idx="39">
                  <c:v>157.44465020907191</c:v>
                </c:pt>
                <c:pt idx="40">
                  <c:v>113.17203839091957</c:v>
                </c:pt>
                <c:pt idx="41">
                  <c:v>68.686422793850568</c:v>
                </c:pt>
                <c:pt idx="42">
                  <c:v>33.068102669179275</c:v>
                </c:pt>
                <c:pt idx="43">
                  <c:v>63.482550142373569</c:v>
                </c:pt>
                <c:pt idx="44">
                  <c:v>121.77690009814923</c:v>
                </c:pt>
                <c:pt idx="45">
                  <c:v>175.7680760470659</c:v>
                </c:pt>
                <c:pt idx="46">
                  <c:v>187.19812463866873</c:v>
                </c:pt>
                <c:pt idx="47">
                  <c:v>204.95046356976394</c:v>
                </c:pt>
                <c:pt idx="48">
                  <c:v>188.08026054347792</c:v>
                </c:pt>
                <c:pt idx="49">
                  <c:v>159.6512564354926</c:v>
                </c:pt>
                <c:pt idx="50">
                  <c:v>138.60385211942557</c:v>
                </c:pt>
                <c:pt idx="51">
                  <c:v>99.349312327463849</c:v>
                </c:pt>
                <c:pt idx="52">
                  <c:v>73.489790521500268</c:v>
                </c:pt>
                <c:pt idx="53">
                  <c:v>56.523806593289365</c:v>
                </c:pt>
                <c:pt idx="54">
                  <c:v>64.347210395794349</c:v>
                </c:pt>
                <c:pt idx="55">
                  <c:v>64.910379774471252</c:v>
                </c:pt>
                <c:pt idx="56">
                  <c:v>115.81525451349738</c:v>
                </c:pt>
                <c:pt idx="57">
                  <c:v>168.36871358255871</c:v>
                </c:pt>
                <c:pt idx="58">
                  <c:v>209.23248666459844</c:v>
                </c:pt>
                <c:pt idx="59">
                  <c:v>221.64630726389444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CA-4C09-B6FE-854D9F2FF9BC}"/>
            </c:ext>
          </c:extLst>
        </c:ser>
        <c:ser>
          <c:idx val="0"/>
          <c:order val="4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CA-4C09-B6FE-854D9F2FF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5026976"/>
        <c:axId val="1552207456"/>
      </c:lineChart>
      <c:catAx>
        <c:axId val="1315026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07456"/>
        <c:crosses val="autoZero"/>
        <c:auto val="1"/>
        <c:lblAlgn val="ctr"/>
        <c:lblOffset val="100"/>
        <c:noMultiLvlLbl val="0"/>
      </c:catAx>
      <c:valAx>
        <c:axId val="1552207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02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6816392269148"/>
          <c:y val="4.5635024788568082E-2"/>
          <c:w val="0.14813827248866618"/>
          <c:h val="0.39062773403324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ES_VS_HOLT'S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962722051047964E-2"/>
          <c:y val="4.6656824146981614E-2"/>
          <c:w val="0.9456219331279242"/>
          <c:h val="0.81879082822980465"/>
        </c:manualLayout>
      </c:layout>
      <c:lineChart>
        <c:grouping val="stacked"/>
        <c:varyColors val="0"/>
        <c:ser>
          <c:idx val="1"/>
          <c:order val="0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22-4202-879F-8D2C603647AE}"/>
            </c:ext>
          </c:extLst>
        </c:ser>
        <c:ser>
          <c:idx val="2"/>
          <c:order val="1"/>
          <c:tx>
            <c:strRef>
              <c:f>Data!$I$1</c:f>
              <c:strCache>
                <c:ptCount val="1"/>
                <c:pt idx="0">
                  <c:v>Holt's Trend Method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Data!$I$2:$I$61</c:f>
              <c:numCache>
                <c:formatCode>General</c:formatCode>
                <c:ptCount val="60"/>
                <c:pt idx="1">
                  <c:v>214</c:v>
                </c:pt>
                <c:pt idx="2">
                  <c:v>388</c:v>
                </c:pt>
                <c:pt idx="3">
                  <c:v>443.92000000000007</c:v>
                </c:pt>
                <c:pt idx="4">
                  <c:v>455.30880000000013</c:v>
                </c:pt>
                <c:pt idx="5">
                  <c:v>387.37043200000016</c:v>
                </c:pt>
                <c:pt idx="6">
                  <c:v>271.00046848000011</c:v>
                </c:pt>
                <c:pt idx="7">
                  <c:v>223.46442270720013</c:v>
                </c:pt>
                <c:pt idx="8">
                  <c:v>133.3612784558081</c:v>
                </c:pt>
                <c:pt idx="9">
                  <c:v>78.380958501765221</c:v>
                </c:pt>
                <c:pt idx="10">
                  <c:v>72.575749178248472</c:v>
                </c:pt>
                <c:pt idx="11">
                  <c:v>60.319461850915317</c:v>
                </c:pt>
                <c:pt idx="12">
                  <c:v>60.383318092902343</c:v>
                </c:pt>
                <c:pt idx="13">
                  <c:v>45.61307219162758</c:v>
                </c:pt>
                <c:pt idx="14">
                  <c:v>96.778783919947386</c:v>
                </c:pt>
                <c:pt idx="15">
                  <c:v>94.986747875411638</c:v>
                </c:pt>
                <c:pt idx="16">
                  <c:v>112.43523937971719</c:v>
                </c:pt>
                <c:pt idx="17">
                  <c:v>119.08439428240686</c:v>
                </c:pt>
                <c:pt idx="18">
                  <c:v>130.39021511937352</c:v>
                </c:pt>
                <c:pt idx="19">
                  <c:v>152.45243736984708</c:v>
                </c:pt>
                <c:pt idx="20">
                  <c:v>241.6298251910504</c:v>
                </c:pt>
                <c:pt idx="21">
                  <c:v>250.79096341744503</c:v>
                </c:pt>
                <c:pt idx="22">
                  <c:v>249.35331985176947</c:v>
                </c:pt>
                <c:pt idx="23">
                  <c:v>232.62667382294595</c:v>
                </c:pt>
                <c:pt idx="24">
                  <c:v>168.98508918821574</c:v>
                </c:pt>
                <c:pt idx="25">
                  <c:v>131.23420721031704</c:v>
                </c:pt>
                <c:pt idx="26">
                  <c:v>89.836028474347373</c:v>
                </c:pt>
                <c:pt idx="27">
                  <c:v>74.263720929676055</c:v>
                </c:pt>
                <c:pt idx="28">
                  <c:v>52.203679545190852</c:v>
                </c:pt>
                <c:pt idx="29">
                  <c:v>38.483057710372151</c:v>
                </c:pt>
                <c:pt idx="30">
                  <c:v>32.469271008857646</c:v>
                </c:pt>
                <c:pt idx="31">
                  <c:v>39.103158286228819</c:v>
                </c:pt>
                <c:pt idx="32">
                  <c:v>75.793762782329154</c:v>
                </c:pt>
                <c:pt idx="33">
                  <c:v>112.61924433403675</c:v>
                </c:pt>
                <c:pt idx="34">
                  <c:v>149.34055048195697</c:v>
                </c:pt>
                <c:pt idx="35">
                  <c:v>170.22310732317999</c:v>
                </c:pt>
                <c:pt idx="36">
                  <c:v>164.57345562444965</c:v>
                </c:pt>
                <c:pt idx="37">
                  <c:v>202.80198136555344</c:v>
                </c:pt>
                <c:pt idx="38">
                  <c:v>202.29648493994796</c:v>
                </c:pt>
                <c:pt idx="39">
                  <c:v>157.44465020907191</c:v>
                </c:pt>
                <c:pt idx="40">
                  <c:v>113.17203839091957</c:v>
                </c:pt>
                <c:pt idx="41">
                  <c:v>68.686422793850568</c:v>
                </c:pt>
                <c:pt idx="42">
                  <c:v>33.068102669179275</c:v>
                </c:pt>
                <c:pt idx="43">
                  <c:v>63.482550142373569</c:v>
                </c:pt>
                <c:pt idx="44">
                  <c:v>121.77690009814923</c:v>
                </c:pt>
                <c:pt idx="45">
                  <c:v>175.7680760470659</c:v>
                </c:pt>
                <c:pt idx="46">
                  <c:v>187.19812463866873</c:v>
                </c:pt>
                <c:pt idx="47">
                  <c:v>204.95046356976394</c:v>
                </c:pt>
                <c:pt idx="48">
                  <c:v>188.08026054347792</c:v>
                </c:pt>
                <c:pt idx="49">
                  <c:v>159.6512564354926</c:v>
                </c:pt>
                <c:pt idx="50">
                  <c:v>138.60385211942557</c:v>
                </c:pt>
                <c:pt idx="51">
                  <c:v>99.349312327463849</c:v>
                </c:pt>
                <c:pt idx="52">
                  <c:v>73.489790521500268</c:v>
                </c:pt>
                <c:pt idx="53">
                  <c:v>56.523806593289365</c:v>
                </c:pt>
                <c:pt idx="54">
                  <c:v>64.347210395794349</c:v>
                </c:pt>
                <c:pt idx="55">
                  <c:v>64.910379774471252</c:v>
                </c:pt>
                <c:pt idx="56">
                  <c:v>115.81525451349738</c:v>
                </c:pt>
                <c:pt idx="57">
                  <c:v>168.36871358255871</c:v>
                </c:pt>
                <c:pt idx="58">
                  <c:v>209.23248666459844</c:v>
                </c:pt>
                <c:pt idx="59">
                  <c:v>221.64630726389444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22-4202-879F-8D2C603647AE}"/>
            </c:ext>
          </c:extLst>
        </c:ser>
        <c:ser>
          <c:idx val="0"/>
          <c:order val="2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22-4202-879F-8D2C60364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695648"/>
        <c:axId val="1725967088"/>
      </c:lineChart>
      <c:catAx>
        <c:axId val="1619695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967088"/>
        <c:crosses val="autoZero"/>
        <c:auto val="1"/>
        <c:lblAlgn val="ctr"/>
        <c:lblOffset val="100"/>
        <c:noMultiLvlLbl val="0"/>
      </c:catAx>
      <c:valAx>
        <c:axId val="1725967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69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53544258054698"/>
          <c:y val="4.2471930592009335E-2"/>
          <c:w val="0.13863583628133438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ES_VS_WINTER'S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054357335767816E-2"/>
          <c:y val="4.6712962962962963E-2"/>
          <c:w val="0.92472231731903076"/>
          <c:h val="0.81810987168270621"/>
        </c:manualLayout>
      </c:layout>
      <c:lineChart>
        <c:grouping val="stacked"/>
        <c:varyColors val="0"/>
        <c:ser>
          <c:idx val="2"/>
          <c:order val="0"/>
          <c:tx>
            <c:strRef>
              <c:f>Data!$M$1</c:f>
              <c:strCache>
                <c:ptCount val="1"/>
                <c:pt idx="0">
                  <c:v>Winter's Seasonal Method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Data!$M$2:$M$61</c:f>
              <c:numCache>
                <c:formatCode>General</c:formatCode>
                <c:ptCount val="60"/>
                <c:pt idx="13">
                  <c:v>417.3</c:v>
                </c:pt>
                <c:pt idx="14">
                  <c:v>126.39308411214954</c:v>
                </c:pt>
                <c:pt idx="15">
                  <c:v>274.29710579439256</c:v>
                </c:pt>
                <c:pt idx="16">
                  <c:v>112.15042476716788</c:v>
                </c:pt>
                <c:pt idx="17">
                  <c:v>57.744781131760611</c:v>
                </c:pt>
                <c:pt idx="18">
                  <c:v>584.39470223879596</c:v>
                </c:pt>
                <c:pt idx="19">
                  <c:v>189.23258124789311</c:v>
                </c:pt>
                <c:pt idx="20">
                  <c:v>391.58245121361063</c:v>
                </c:pt>
                <c:pt idx="21">
                  <c:v>474.39458061998891</c:v>
                </c:pt>
                <c:pt idx="22">
                  <c:v>214.33343366702189</c:v>
                </c:pt>
                <c:pt idx="23">
                  <c:v>150.4589962810667</c:v>
                </c:pt>
                <c:pt idx="24">
                  <c:v>22.375270456483559</c:v>
                </c:pt>
                <c:pt idx="25">
                  <c:v>162.94409512512473</c:v>
                </c:pt>
                <c:pt idx="26">
                  <c:v>33.103420471512784</c:v>
                </c:pt>
                <c:pt idx="27">
                  <c:v>182.12173427929835</c:v>
                </c:pt>
                <c:pt idx="28">
                  <c:v>147.72347223009459</c:v>
                </c:pt>
                <c:pt idx="29">
                  <c:v>149.25466667447557</c:v>
                </c:pt>
                <c:pt idx="30">
                  <c:v>235.31989840017542</c:v>
                </c:pt>
                <c:pt idx="31">
                  <c:v>276.42402502526863</c:v>
                </c:pt>
                <c:pt idx="32">
                  <c:v>92.024538177926729</c:v>
                </c:pt>
                <c:pt idx="33">
                  <c:v>118.33386556591272</c:v>
                </c:pt>
                <c:pt idx="34">
                  <c:v>110.26126955421302</c:v>
                </c:pt>
                <c:pt idx="35">
                  <c:v>50.064783376480719</c:v>
                </c:pt>
                <c:pt idx="36">
                  <c:v>98.284239591801025</c:v>
                </c:pt>
                <c:pt idx="37">
                  <c:v>121.06136521105988</c:v>
                </c:pt>
                <c:pt idx="38">
                  <c:v>104.863595304011</c:v>
                </c:pt>
                <c:pt idx="39">
                  <c:v>54.427391383423469</c:v>
                </c:pt>
                <c:pt idx="40">
                  <c:v>51.837935458852677</c:v>
                </c:pt>
                <c:pt idx="41">
                  <c:v>55.980982827180078</c:v>
                </c:pt>
                <c:pt idx="42">
                  <c:v>88.252106233891737</c:v>
                </c:pt>
                <c:pt idx="43">
                  <c:v>284.93107352049378</c:v>
                </c:pt>
                <c:pt idx="44">
                  <c:v>313.52398631898063</c:v>
                </c:pt>
                <c:pt idx="45">
                  <c:v>400.0371997540866</c:v>
                </c:pt>
                <c:pt idx="46">
                  <c:v>329.93299358669105</c:v>
                </c:pt>
                <c:pt idx="47">
                  <c:v>181.72983795298879</c:v>
                </c:pt>
                <c:pt idx="48">
                  <c:v>307.06193169901923</c:v>
                </c:pt>
                <c:pt idx="49">
                  <c:v>73.687053152076984</c:v>
                </c:pt>
                <c:pt idx="50">
                  <c:v>9.841814682685186</c:v>
                </c:pt>
                <c:pt idx="51">
                  <c:v>15.687091597309083</c:v>
                </c:pt>
                <c:pt idx="52">
                  <c:v>25.887712457550435</c:v>
                </c:pt>
                <c:pt idx="53">
                  <c:v>46.962119989524297</c:v>
                </c:pt>
                <c:pt idx="54">
                  <c:v>199.66336592090323</c:v>
                </c:pt>
                <c:pt idx="55">
                  <c:v>212.32148882797989</c:v>
                </c:pt>
                <c:pt idx="56">
                  <c:v>201.93655385706398</c:v>
                </c:pt>
                <c:pt idx="57">
                  <c:v>147.47223939312568</c:v>
                </c:pt>
                <c:pt idx="58">
                  <c:v>284.84547657980977</c:v>
                </c:pt>
                <c:pt idx="59">
                  <c:v>197.69161770648105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4F-4243-B056-B3D86485E238}"/>
            </c:ext>
          </c:extLst>
        </c:ser>
        <c:ser>
          <c:idx val="1"/>
          <c:order val="1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4F-4243-B056-B3D86485E238}"/>
            </c:ext>
          </c:extLst>
        </c:ser>
        <c:ser>
          <c:idx val="0"/>
          <c:order val="2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4F-4243-B056-B3D86485E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696128"/>
        <c:axId val="1739835936"/>
      </c:lineChart>
      <c:catAx>
        <c:axId val="1619696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835936"/>
        <c:crosses val="autoZero"/>
        <c:auto val="1"/>
        <c:lblAlgn val="ctr"/>
        <c:lblOffset val="100"/>
        <c:noMultiLvlLbl val="0"/>
      </c:catAx>
      <c:valAx>
        <c:axId val="1739835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69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937426299973369"/>
          <c:y val="7.2834645669291334E-2"/>
          <c:w val="0.15474884932861654"/>
          <c:h val="0.222865995917177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015709992772655E-2"/>
          <c:y val="3.7453703703703704E-2"/>
          <c:w val="0.93830375822587397"/>
          <c:h val="0.81348024205307656"/>
        </c:manualLayout>
      </c:layout>
      <c:lineChart>
        <c:grouping val="stacked"/>
        <c:varyColors val="0"/>
        <c:ser>
          <c:idx val="1"/>
          <c:order val="0"/>
          <c:tx>
            <c:strRef>
              <c:f>Data!$P$1</c:f>
              <c:strCache>
                <c:ptCount val="1"/>
                <c:pt idx="0">
                  <c:v>12 Point Moving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Data!$P$2:$P$61</c:f>
              <c:numCache>
                <c:formatCode>General</c:formatCode>
                <c:ptCount val="60"/>
                <c:pt idx="12">
                  <c:v>132.58333333333334</c:v>
                </c:pt>
                <c:pt idx="13">
                  <c:v>134.16666666666666</c:v>
                </c:pt>
                <c:pt idx="14">
                  <c:v>135.33333333333334</c:v>
                </c:pt>
                <c:pt idx="15">
                  <c:v>134.58333333333334</c:v>
                </c:pt>
                <c:pt idx="16">
                  <c:v>133.33333333333334</c:v>
                </c:pt>
                <c:pt idx="17">
                  <c:v>136.08333333333334</c:v>
                </c:pt>
                <c:pt idx="18">
                  <c:v>143.41666666666666</c:v>
                </c:pt>
                <c:pt idx="19">
                  <c:v>134.75</c:v>
                </c:pt>
                <c:pt idx="20">
                  <c:v>155.91666666666666</c:v>
                </c:pt>
                <c:pt idx="21">
                  <c:v>153.33333333333334</c:v>
                </c:pt>
                <c:pt idx="22">
                  <c:v>147.41666666666666</c:v>
                </c:pt>
                <c:pt idx="23">
                  <c:v>148.83333333333334</c:v>
                </c:pt>
                <c:pt idx="24">
                  <c:v>142.08333333333334</c:v>
                </c:pt>
                <c:pt idx="25">
                  <c:v>148.83333333333334</c:v>
                </c:pt>
                <c:pt idx="26">
                  <c:v>138.58333333333334</c:v>
                </c:pt>
                <c:pt idx="27">
                  <c:v>146.58333333333334</c:v>
                </c:pt>
                <c:pt idx="28">
                  <c:v>143.66666666666666</c:v>
                </c:pt>
                <c:pt idx="29">
                  <c:v>142.41666666666666</c:v>
                </c:pt>
                <c:pt idx="30">
                  <c:v>138.5</c:v>
                </c:pt>
                <c:pt idx="31">
                  <c:v>132.33333333333334</c:v>
                </c:pt>
                <c:pt idx="32">
                  <c:v>115.41666666666667</c:v>
                </c:pt>
                <c:pt idx="33">
                  <c:v>116</c:v>
                </c:pt>
                <c:pt idx="34">
                  <c:v>114.91666666666667</c:v>
                </c:pt>
                <c:pt idx="35">
                  <c:v>112.25</c:v>
                </c:pt>
                <c:pt idx="36">
                  <c:v>114.91666666666667</c:v>
                </c:pt>
                <c:pt idx="37">
                  <c:v>123.08333333333333</c:v>
                </c:pt>
                <c:pt idx="38">
                  <c:v>125.66666666666667</c:v>
                </c:pt>
                <c:pt idx="39">
                  <c:v>116.91666666666667</c:v>
                </c:pt>
                <c:pt idx="40">
                  <c:v>115.41666666666667</c:v>
                </c:pt>
                <c:pt idx="41">
                  <c:v>113.83333333333333</c:v>
                </c:pt>
                <c:pt idx="42">
                  <c:v>112.91666666666667</c:v>
                </c:pt>
                <c:pt idx="43">
                  <c:v>123.41666666666667</c:v>
                </c:pt>
                <c:pt idx="44">
                  <c:v>130.75</c:v>
                </c:pt>
                <c:pt idx="45">
                  <c:v>136.5</c:v>
                </c:pt>
                <c:pt idx="46">
                  <c:v>133</c:v>
                </c:pt>
                <c:pt idx="47">
                  <c:v>136.41666666666666</c:v>
                </c:pt>
                <c:pt idx="48">
                  <c:v>137.58333333333334</c:v>
                </c:pt>
                <c:pt idx="49">
                  <c:v>125.75</c:v>
                </c:pt>
                <c:pt idx="50">
                  <c:v>125.16666666666667</c:v>
                </c:pt>
                <c:pt idx="51">
                  <c:v>127.58333333333333</c:v>
                </c:pt>
                <c:pt idx="52">
                  <c:v>130</c:v>
                </c:pt>
                <c:pt idx="53">
                  <c:v>132.83333333333334</c:v>
                </c:pt>
                <c:pt idx="54">
                  <c:v>138.91666666666666</c:v>
                </c:pt>
                <c:pt idx="55">
                  <c:v>128.5</c:v>
                </c:pt>
                <c:pt idx="56">
                  <c:v>126.58333333333333</c:v>
                </c:pt>
                <c:pt idx="57">
                  <c:v>126.33333333333333</c:v>
                </c:pt>
                <c:pt idx="58">
                  <c:v>133</c:v>
                </c:pt>
                <c:pt idx="59">
                  <c:v>130.83333333333334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90-4CB9-B3F6-718850D7A7B2}"/>
            </c:ext>
          </c:extLst>
        </c:ser>
        <c:ser>
          <c:idx val="0"/>
          <c:order val="1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90-4CB9-B3F6-718850D7A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691328"/>
        <c:axId val="1848428224"/>
      </c:lineChart>
      <c:catAx>
        <c:axId val="1619691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428224"/>
        <c:crosses val="autoZero"/>
        <c:auto val="1"/>
        <c:lblAlgn val="ctr"/>
        <c:lblOffset val="100"/>
        <c:noMultiLvlLbl val="0"/>
      </c:catAx>
      <c:valAx>
        <c:axId val="1848428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69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28495758682339"/>
          <c:y val="5.3009623797025375E-2"/>
          <c:w val="0.15883744151546275"/>
          <c:h val="0.25272419072615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945528548061926E-2"/>
          <c:y val="4.2083333333333334E-2"/>
          <c:w val="0.94147352504849935"/>
          <c:h val="0.81348024205307656"/>
        </c:manualLayout>
      </c:layout>
      <c:lineChart>
        <c:grouping val="stacked"/>
        <c:varyColors val="0"/>
        <c:ser>
          <c:idx val="1"/>
          <c:order val="0"/>
          <c:tx>
            <c:strRef>
              <c:f>Data!$F$1</c:f>
              <c:strCache>
                <c:ptCount val="1"/>
                <c:pt idx="0">
                  <c:v>Exponential Smoothing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Data!$F$2:$F$61</c:f>
              <c:numCache>
                <c:formatCode>General</c:formatCode>
                <c:ptCount val="60"/>
                <c:pt idx="0">
                  <c:v>40</c:v>
                </c:pt>
                <c:pt idx="1">
                  <c:v>40</c:v>
                </c:pt>
                <c:pt idx="2">
                  <c:v>74.800000000000011</c:v>
                </c:pt>
                <c:pt idx="3">
                  <c:v>71.84</c:v>
                </c:pt>
                <c:pt idx="4">
                  <c:v>85.072000000000003</c:v>
                </c:pt>
                <c:pt idx="5">
                  <c:v>81.057600000000008</c:v>
                </c:pt>
                <c:pt idx="6">
                  <c:v>72.046080000000018</c:v>
                </c:pt>
                <c:pt idx="7">
                  <c:v>111.03686400000002</c:v>
                </c:pt>
                <c:pt idx="8">
                  <c:v>109.42949120000003</c:v>
                </c:pt>
                <c:pt idx="9">
                  <c:v>120.34359296000002</c:v>
                </c:pt>
                <c:pt idx="10">
                  <c:v>142.67487436800002</c:v>
                </c:pt>
                <c:pt idx="11">
                  <c:v>142.13989949440003</c:v>
                </c:pt>
                <c:pt idx="12">
                  <c:v>140.11191959552002</c:v>
                </c:pt>
                <c:pt idx="13">
                  <c:v>123.88953567641602</c:v>
                </c:pt>
                <c:pt idx="14">
                  <c:v>144.71162854113282</c:v>
                </c:pt>
                <c:pt idx="15">
                  <c:v>125.96930283290627</c:v>
                </c:pt>
                <c:pt idx="16">
                  <c:v>125.37544226632502</c:v>
                </c:pt>
                <c:pt idx="17">
                  <c:v>119.90035381306004</c:v>
                </c:pt>
                <c:pt idx="18">
                  <c:v>120.72028305044803</c:v>
                </c:pt>
                <c:pt idx="19">
                  <c:v>129.17622644035842</c:v>
                </c:pt>
                <c:pt idx="20">
                  <c:v>174.74098115228674</c:v>
                </c:pt>
                <c:pt idx="21">
                  <c:v>166.39278492182939</c:v>
                </c:pt>
                <c:pt idx="22">
                  <c:v>165.3142279374635</c:v>
                </c:pt>
                <c:pt idx="23">
                  <c:v>163.65138234997082</c:v>
                </c:pt>
                <c:pt idx="24">
                  <c:v>141.12110587997665</c:v>
                </c:pt>
                <c:pt idx="25">
                  <c:v>140.89688470398133</c:v>
                </c:pt>
                <c:pt idx="26">
                  <c:v>133.71750776318507</c:v>
                </c:pt>
                <c:pt idx="27">
                  <c:v>136.37400621054806</c:v>
                </c:pt>
                <c:pt idx="28">
                  <c:v>126.69920496843847</c:v>
                </c:pt>
                <c:pt idx="29">
                  <c:v>117.95936397475077</c:v>
                </c:pt>
                <c:pt idx="30">
                  <c:v>109.76749117980063</c:v>
                </c:pt>
                <c:pt idx="31">
                  <c:v>105.6139929438405</c:v>
                </c:pt>
                <c:pt idx="32">
                  <c:v>115.29119435507241</c:v>
                </c:pt>
                <c:pt idx="33">
                  <c:v>120.23295548405792</c:v>
                </c:pt>
                <c:pt idx="34">
                  <c:v>125.78636438724635</c:v>
                </c:pt>
                <c:pt idx="35">
                  <c:v>125.62909150979709</c:v>
                </c:pt>
                <c:pt idx="36">
                  <c:v>117.10327320783767</c:v>
                </c:pt>
                <c:pt idx="37">
                  <c:v>141.28261856627014</c:v>
                </c:pt>
                <c:pt idx="38">
                  <c:v>140.22609485301612</c:v>
                </c:pt>
                <c:pt idx="39">
                  <c:v>120.58087588241291</c:v>
                </c:pt>
                <c:pt idx="40">
                  <c:v>110.46470070593034</c:v>
                </c:pt>
                <c:pt idx="41">
                  <c:v>101.17176056474428</c:v>
                </c:pt>
                <c:pt idx="42">
                  <c:v>94.137408451795423</c:v>
                </c:pt>
                <c:pt idx="43">
                  <c:v>118.30992676143634</c:v>
                </c:pt>
                <c:pt idx="44">
                  <c:v>143.04794140914908</c:v>
                </c:pt>
                <c:pt idx="45">
                  <c:v>156.23835312731927</c:v>
                </c:pt>
                <c:pt idx="46">
                  <c:v>146.19068250185541</c:v>
                </c:pt>
                <c:pt idx="47">
                  <c:v>150.15254600148432</c:v>
                </c:pt>
                <c:pt idx="48">
                  <c:v>139.52203680118745</c:v>
                </c:pt>
                <c:pt idx="49">
                  <c:v>130.81762944094999</c:v>
                </c:pt>
                <c:pt idx="50">
                  <c:v>130.45410355275999</c:v>
                </c:pt>
                <c:pt idx="51">
                  <c:v>118.563282842208</c:v>
                </c:pt>
                <c:pt idx="52">
                  <c:v>114.65062627376641</c:v>
                </c:pt>
                <c:pt idx="53">
                  <c:v>111.32050101901314</c:v>
                </c:pt>
                <c:pt idx="54">
                  <c:v>116.85640081521051</c:v>
                </c:pt>
                <c:pt idx="55">
                  <c:v>111.4851206521684</c:v>
                </c:pt>
                <c:pt idx="56">
                  <c:v>132.98809652173475</c:v>
                </c:pt>
                <c:pt idx="57">
                  <c:v>147.59047721738779</c:v>
                </c:pt>
                <c:pt idx="58">
                  <c:v>155.27238177391024</c:v>
                </c:pt>
                <c:pt idx="59">
                  <c:v>152.21790541912821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2D-405D-8EDE-A40ACA3471B5}"/>
            </c:ext>
          </c:extLst>
        </c:ser>
        <c:ser>
          <c:idx val="0"/>
          <c:order val="1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2D-405D-8EDE-A40ACA347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684128"/>
        <c:axId val="1848413344"/>
      </c:lineChart>
      <c:catAx>
        <c:axId val="1619684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413344"/>
        <c:crosses val="autoZero"/>
        <c:auto val="1"/>
        <c:lblAlgn val="ctr"/>
        <c:lblOffset val="100"/>
        <c:noMultiLvlLbl val="0"/>
      </c:catAx>
      <c:valAx>
        <c:axId val="1848413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68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91688538932634"/>
          <c:y val="4.2452974628171485E-2"/>
          <c:w val="0.16580081022480883"/>
          <c:h val="0.25510170603674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846627867168784E-2"/>
          <c:y val="5.1342592592592592E-2"/>
          <c:w val="0.93973306325839701"/>
          <c:h val="0.85051727909011376"/>
        </c:manualLayout>
      </c:layout>
      <c:lineChart>
        <c:grouping val="stacked"/>
        <c:varyColors val="0"/>
        <c:ser>
          <c:idx val="1"/>
          <c:order val="0"/>
          <c:tx>
            <c:strRef>
              <c:f>Data!$I$1</c:f>
              <c:strCache>
                <c:ptCount val="1"/>
                <c:pt idx="0">
                  <c:v>Holt's Trend Method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Data!$I$2:$I$61</c:f>
              <c:numCache>
                <c:formatCode>General</c:formatCode>
                <c:ptCount val="60"/>
                <c:pt idx="1">
                  <c:v>214</c:v>
                </c:pt>
                <c:pt idx="2">
                  <c:v>388</c:v>
                </c:pt>
                <c:pt idx="3">
                  <c:v>443.92000000000007</c:v>
                </c:pt>
                <c:pt idx="4">
                  <c:v>455.30880000000013</c:v>
                </c:pt>
                <c:pt idx="5">
                  <c:v>387.37043200000016</c:v>
                </c:pt>
                <c:pt idx="6">
                  <c:v>271.00046848000011</c:v>
                </c:pt>
                <c:pt idx="7">
                  <c:v>223.46442270720013</c:v>
                </c:pt>
                <c:pt idx="8">
                  <c:v>133.3612784558081</c:v>
                </c:pt>
                <c:pt idx="9">
                  <c:v>78.380958501765221</c:v>
                </c:pt>
                <c:pt idx="10">
                  <c:v>72.575749178248472</c:v>
                </c:pt>
                <c:pt idx="11">
                  <c:v>60.319461850915317</c:v>
                </c:pt>
                <c:pt idx="12">
                  <c:v>60.383318092902343</c:v>
                </c:pt>
                <c:pt idx="13">
                  <c:v>45.61307219162758</c:v>
                </c:pt>
                <c:pt idx="14">
                  <c:v>96.778783919947386</c:v>
                </c:pt>
                <c:pt idx="15">
                  <c:v>94.986747875411638</c:v>
                </c:pt>
                <c:pt idx="16">
                  <c:v>112.43523937971719</c:v>
                </c:pt>
                <c:pt idx="17">
                  <c:v>119.08439428240686</c:v>
                </c:pt>
                <c:pt idx="18">
                  <c:v>130.39021511937352</c:v>
                </c:pt>
                <c:pt idx="19">
                  <c:v>152.45243736984708</c:v>
                </c:pt>
                <c:pt idx="20">
                  <c:v>241.6298251910504</c:v>
                </c:pt>
                <c:pt idx="21">
                  <c:v>250.79096341744503</c:v>
                </c:pt>
                <c:pt idx="22">
                  <c:v>249.35331985176947</c:v>
                </c:pt>
                <c:pt idx="23">
                  <c:v>232.62667382294595</c:v>
                </c:pt>
                <c:pt idx="24">
                  <c:v>168.98508918821574</c:v>
                </c:pt>
                <c:pt idx="25">
                  <c:v>131.23420721031704</c:v>
                </c:pt>
                <c:pt idx="26">
                  <c:v>89.836028474347373</c:v>
                </c:pt>
                <c:pt idx="27">
                  <c:v>74.263720929676055</c:v>
                </c:pt>
                <c:pt idx="28">
                  <c:v>52.203679545190852</c:v>
                </c:pt>
                <c:pt idx="29">
                  <c:v>38.483057710372151</c:v>
                </c:pt>
                <c:pt idx="30">
                  <c:v>32.469271008857646</c:v>
                </c:pt>
                <c:pt idx="31">
                  <c:v>39.103158286228819</c:v>
                </c:pt>
                <c:pt idx="32">
                  <c:v>75.793762782329154</c:v>
                </c:pt>
                <c:pt idx="33">
                  <c:v>112.61924433403675</c:v>
                </c:pt>
                <c:pt idx="34">
                  <c:v>149.34055048195697</c:v>
                </c:pt>
                <c:pt idx="35">
                  <c:v>170.22310732317999</c:v>
                </c:pt>
                <c:pt idx="36">
                  <c:v>164.57345562444965</c:v>
                </c:pt>
                <c:pt idx="37">
                  <c:v>202.80198136555344</c:v>
                </c:pt>
                <c:pt idx="38">
                  <c:v>202.29648493994796</c:v>
                </c:pt>
                <c:pt idx="39">
                  <c:v>157.44465020907191</c:v>
                </c:pt>
                <c:pt idx="40">
                  <c:v>113.17203839091957</c:v>
                </c:pt>
                <c:pt idx="41">
                  <c:v>68.686422793850568</c:v>
                </c:pt>
                <c:pt idx="42">
                  <c:v>33.068102669179275</c:v>
                </c:pt>
                <c:pt idx="43">
                  <c:v>63.482550142373569</c:v>
                </c:pt>
                <c:pt idx="44">
                  <c:v>121.77690009814923</c:v>
                </c:pt>
                <c:pt idx="45">
                  <c:v>175.7680760470659</c:v>
                </c:pt>
                <c:pt idx="46">
                  <c:v>187.19812463866873</c:v>
                </c:pt>
                <c:pt idx="47">
                  <c:v>204.95046356976394</c:v>
                </c:pt>
                <c:pt idx="48">
                  <c:v>188.08026054347792</c:v>
                </c:pt>
                <c:pt idx="49">
                  <c:v>159.6512564354926</c:v>
                </c:pt>
                <c:pt idx="50">
                  <c:v>138.60385211942557</c:v>
                </c:pt>
                <c:pt idx="51">
                  <c:v>99.349312327463849</c:v>
                </c:pt>
                <c:pt idx="52">
                  <c:v>73.489790521500268</c:v>
                </c:pt>
                <c:pt idx="53">
                  <c:v>56.523806593289365</c:v>
                </c:pt>
                <c:pt idx="54">
                  <c:v>64.347210395794349</c:v>
                </c:pt>
                <c:pt idx="55">
                  <c:v>64.910379774471252</c:v>
                </c:pt>
                <c:pt idx="56">
                  <c:v>115.81525451349738</c:v>
                </c:pt>
                <c:pt idx="57">
                  <c:v>168.36871358255871</c:v>
                </c:pt>
                <c:pt idx="58">
                  <c:v>209.23248666459844</c:v>
                </c:pt>
                <c:pt idx="59">
                  <c:v>221.64630726389444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C0-4F5A-8B00-5B4839D78058}"/>
            </c:ext>
          </c:extLst>
        </c:ser>
        <c:ser>
          <c:idx val="0"/>
          <c:order val="1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C0-4F5A-8B00-5B4839D78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4475392"/>
        <c:axId val="1848429712"/>
      </c:lineChart>
      <c:catAx>
        <c:axId val="1624475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429712"/>
        <c:crosses val="autoZero"/>
        <c:auto val="1"/>
        <c:lblAlgn val="ctr"/>
        <c:lblOffset val="100"/>
        <c:noMultiLvlLbl val="0"/>
      </c:catAx>
      <c:valAx>
        <c:axId val="1848429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7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275390847883144"/>
          <c:y val="5.0350685331000289E-2"/>
          <c:w val="0.12199912510936135"/>
          <c:h val="0.265839165937591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054357335767816E-2"/>
          <c:y val="4.6712962962962963E-2"/>
          <c:w val="0.92861824337175247"/>
          <c:h val="0.85051727909011376"/>
        </c:manualLayout>
      </c:layout>
      <c:lineChart>
        <c:grouping val="stacked"/>
        <c:varyColors val="0"/>
        <c:ser>
          <c:idx val="1"/>
          <c:order val="0"/>
          <c:tx>
            <c:strRef>
              <c:f>Data!$M$1</c:f>
              <c:strCache>
                <c:ptCount val="1"/>
                <c:pt idx="0">
                  <c:v>Winter's Seasonal Method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Data!$M$2:$M$61</c:f>
              <c:numCache>
                <c:formatCode>General</c:formatCode>
                <c:ptCount val="60"/>
                <c:pt idx="13">
                  <c:v>417.3</c:v>
                </c:pt>
                <c:pt idx="14">
                  <c:v>126.39308411214954</c:v>
                </c:pt>
                <c:pt idx="15">
                  <c:v>274.29710579439256</c:v>
                </c:pt>
                <c:pt idx="16">
                  <c:v>112.15042476716788</c:v>
                </c:pt>
                <c:pt idx="17">
                  <c:v>57.744781131760611</c:v>
                </c:pt>
                <c:pt idx="18">
                  <c:v>584.39470223879596</c:v>
                </c:pt>
                <c:pt idx="19">
                  <c:v>189.23258124789311</c:v>
                </c:pt>
                <c:pt idx="20">
                  <c:v>391.58245121361063</c:v>
                </c:pt>
                <c:pt idx="21">
                  <c:v>474.39458061998891</c:v>
                </c:pt>
                <c:pt idx="22">
                  <c:v>214.33343366702189</c:v>
                </c:pt>
                <c:pt idx="23">
                  <c:v>150.4589962810667</c:v>
                </c:pt>
                <c:pt idx="24">
                  <c:v>22.375270456483559</c:v>
                </c:pt>
                <c:pt idx="25">
                  <c:v>162.94409512512473</c:v>
                </c:pt>
                <c:pt idx="26">
                  <c:v>33.103420471512784</c:v>
                </c:pt>
                <c:pt idx="27">
                  <c:v>182.12173427929835</c:v>
                </c:pt>
                <c:pt idx="28">
                  <c:v>147.72347223009459</c:v>
                </c:pt>
                <c:pt idx="29">
                  <c:v>149.25466667447557</c:v>
                </c:pt>
                <c:pt idx="30">
                  <c:v>235.31989840017542</c:v>
                </c:pt>
                <c:pt idx="31">
                  <c:v>276.42402502526863</c:v>
                </c:pt>
                <c:pt idx="32">
                  <c:v>92.024538177926729</c:v>
                </c:pt>
                <c:pt idx="33">
                  <c:v>118.33386556591272</c:v>
                </c:pt>
                <c:pt idx="34">
                  <c:v>110.26126955421302</c:v>
                </c:pt>
                <c:pt idx="35">
                  <c:v>50.064783376480719</c:v>
                </c:pt>
                <c:pt idx="36">
                  <c:v>98.284239591801025</c:v>
                </c:pt>
                <c:pt idx="37">
                  <c:v>121.06136521105988</c:v>
                </c:pt>
                <c:pt idx="38">
                  <c:v>104.863595304011</c:v>
                </c:pt>
                <c:pt idx="39">
                  <c:v>54.427391383423469</c:v>
                </c:pt>
                <c:pt idx="40">
                  <c:v>51.837935458852677</c:v>
                </c:pt>
                <c:pt idx="41">
                  <c:v>55.980982827180078</c:v>
                </c:pt>
                <c:pt idx="42">
                  <c:v>88.252106233891737</c:v>
                </c:pt>
                <c:pt idx="43">
                  <c:v>284.93107352049378</c:v>
                </c:pt>
                <c:pt idx="44">
                  <c:v>313.52398631898063</c:v>
                </c:pt>
                <c:pt idx="45">
                  <c:v>400.0371997540866</c:v>
                </c:pt>
                <c:pt idx="46">
                  <c:v>329.93299358669105</c:v>
                </c:pt>
                <c:pt idx="47">
                  <c:v>181.72983795298879</c:v>
                </c:pt>
                <c:pt idx="48">
                  <c:v>307.06193169901923</c:v>
                </c:pt>
                <c:pt idx="49">
                  <c:v>73.687053152076984</c:v>
                </c:pt>
                <c:pt idx="50">
                  <c:v>9.841814682685186</c:v>
                </c:pt>
                <c:pt idx="51">
                  <c:v>15.687091597309083</c:v>
                </c:pt>
                <c:pt idx="52">
                  <c:v>25.887712457550435</c:v>
                </c:pt>
                <c:pt idx="53">
                  <c:v>46.962119989524297</c:v>
                </c:pt>
                <c:pt idx="54">
                  <c:v>199.66336592090323</c:v>
                </c:pt>
                <c:pt idx="55">
                  <c:v>212.32148882797989</c:v>
                </c:pt>
                <c:pt idx="56">
                  <c:v>201.93655385706398</c:v>
                </c:pt>
                <c:pt idx="57">
                  <c:v>147.47223939312568</c:v>
                </c:pt>
                <c:pt idx="58">
                  <c:v>284.84547657980977</c:v>
                </c:pt>
                <c:pt idx="59">
                  <c:v>197.69161770648105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D-4DB8-9F15-D3483B9E6454}"/>
            </c:ext>
          </c:extLst>
        </c:ser>
        <c:ser>
          <c:idx val="0"/>
          <c:order val="1"/>
          <c:tx>
            <c:strRef>
              <c:f>Data!$C$1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Data!$C$2:$C$61</c:f>
              <c:numCache>
                <c:formatCode>General</c:formatCode>
                <c:ptCount val="60"/>
                <c:pt idx="0">
                  <c:v>40</c:v>
                </c:pt>
                <c:pt idx="1">
                  <c:v>214</c:v>
                </c:pt>
                <c:pt idx="2">
                  <c:v>60</c:v>
                </c:pt>
                <c:pt idx="3">
                  <c:v>138</c:v>
                </c:pt>
                <c:pt idx="4">
                  <c:v>65</c:v>
                </c:pt>
                <c:pt idx="5">
                  <c:v>36</c:v>
                </c:pt>
                <c:pt idx="6">
                  <c:v>267</c:v>
                </c:pt>
                <c:pt idx="7">
                  <c:v>103</c:v>
                </c:pt>
                <c:pt idx="8">
                  <c:v>164</c:v>
                </c:pt>
                <c:pt idx="9">
                  <c:v>232</c:v>
                </c:pt>
                <c:pt idx="10">
                  <c:v>140</c:v>
                </c:pt>
                <c:pt idx="11">
                  <c:v>132</c:v>
                </c:pt>
                <c:pt idx="12">
                  <c:v>59</c:v>
                </c:pt>
                <c:pt idx="13">
                  <c:v>228</c:v>
                </c:pt>
                <c:pt idx="14">
                  <c:v>51</c:v>
                </c:pt>
                <c:pt idx="15">
                  <c:v>123</c:v>
                </c:pt>
                <c:pt idx="16">
                  <c:v>98</c:v>
                </c:pt>
                <c:pt idx="17">
                  <c:v>124</c:v>
                </c:pt>
                <c:pt idx="18">
                  <c:v>163</c:v>
                </c:pt>
                <c:pt idx="19">
                  <c:v>357</c:v>
                </c:pt>
                <c:pt idx="20">
                  <c:v>133</c:v>
                </c:pt>
                <c:pt idx="21">
                  <c:v>161</c:v>
                </c:pt>
                <c:pt idx="22">
                  <c:v>157</c:v>
                </c:pt>
                <c:pt idx="23">
                  <c:v>51</c:v>
                </c:pt>
                <c:pt idx="24">
                  <c:v>140</c:v>
                </c:pt>
                <c:pt idx="25">
                  <c:v>105</c:v>
                </c:pt>
                <c:pt idx="26">
                  <c:v>147</c:v>
                </c:pt>
                <c:pt idx="27">
                  <c:v>88</c:v>
                </c:pt>
                <c:pt idx="28">
                  <c:v>83</c:v>
                </c:pt>
                <c:pt idx="29">
                  <c:v>77</c:v>
                </c:pt>
                <c:pt idx="30">
                  <c:v>89</c:v>
                </c:pt>
                <c:pt idx="31">
                  <c:v>154</c:v>
                </c:pt>
                <c:pt idx="32">
                  <c:v>140</c:v>
                </c:pt>
                <c:pt idx="33">
                  <c:v>148</c:v>
                </c:pt>
                <c:pt idx="34">
                  <c:v>125</c:v>
                </c:pt>
                <c:pt idx="35">
                  <c:v>83</c:v>
                </c:pt>
                <c:pt idx="36">
                  <c:v>238</c:v>
                </c:pt>
                <c:pt idx="37">
                  <c:v>136</c:v>
                </c:pt>
                <c:pt idx="38">
                  <c:v>42</c:v>
                </c:pt>
                <c:pt idx="39">
                  <c:v>70</c:v>
                </c:pt>
                <c:pt idx="40">
                  <c:v>64</c:v>
                </c:pt>
                <c:pt idx="41">
                  <c:v>66</c:v>
                </c:pt>
                <c:pt idx="42">
                  <c:v>215</c:v>
                </c:pt>
                <c:pt idx="43">
                  <c:v>242</c:v>
                </c:pt>
                <c:pt idx="44">
                  <c:v>209</c:v>
                </c:pt>
                <c:pt idx="45">
                  <c:v>106</c:v>
                </c:pt>
                <c:pt idx="46">
                  <c:v>166</c:v>
                </c:pt>
                <c:pt idx="47">
                  <c:v>97</c:v>
                </c:pt>
                <c:pt idx="48">
                  <c:v>96</c:v>
                </c:pt>
                <c:pt idx="49">
                  <c:v>129</c:v>
                </c:pt>
                <c:pt idx="50">
                  <c:v>71</c:v>
                </c:pt>
                <c:pt idx="51">
                  <c:v>99</c:v>
                </c:pt>
                <c:pt idx="52">
                  <c:v>98</c:v>
                </c:pt>
                <c:pt idx="53">
                  <c:v>139</c:v>
                </c:pt>
                <c:pt idx="54">
                  <c:v>90</c:v>
                </c:pt>
                <c:pt idx="55">
                  <c:v>219</c:v>
                </c:pt>
                <c:pt idx="56">
                  <c:v>206</c:v>
                </c:pt>
                <c:pt idx="57">
                  <c:v>186</c:v>
                </c:pt>
                <c:pt idx="58">
                  <c:v>140</c:v>
                </c:pt>
                <c:pt idx="5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AD-4DB8-9F15-D3483B9E6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270096"/>
        <c:axId val="1734266368"/>
      </c:lineChart>
      <c:catAx>
        <c:axId val="1854270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266368"/>
        <c:crosses val="autoZero"/>
        <c:auto val="1"/>
        <c:lblAlgn val="ctr"/>
        <c:lblOffset val="100"/>
        <c:noMultiLvlLbl val="0"/>
      </c:catAx>
      <c:valAx>
        <c:axId val="1734266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27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015900186389744"/>
          <c:y val="5.6341863517060366E-2"/>
          <c:w val="0.13584930959716995"/>
          <c:h val="0.254299722951297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52883162331981"/>
          <c:y val="0.17171296296296298"/>
          <c:w val="0.84643581484132668"/>
          <c:h val="0.619174321959755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ERRORS!$A$2</c:f>
              <c:strCache>
                <c:ptCount val="1"/>
                <c:pt idx="0">
                  <c:v>MSE Comparison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ERRORS!$B$1:$G$1</c:f>
              <c:strCache>
                <c:ptCount val="6"/>
                <c:pt idx="0">
                  <c:v>3 Point Moving Average</c:v>
                </c:pt>
                <c:pt idx="1">
                  <c:v>6 Point Moving Average</c:v>
                </c:pt>
                <c:pt idx="2">
                  <c:v>12 Point Moving Average</c:v>
                </c:pt>
                <c:pt idx="3">
                  <c:v>Exponential Smoothing</c:v>
                </c:pt>
                <c:pt idx="4">
                  <c:v>Holt's Trend Method</c:v>
                </c:pt>
                <c:pt idx="5">
                  <c:v>Winter's Seasonal Method</c:v>
                </c:pt>
              </c:strCache>
            </c:strRef>
          </c:cat>
          <c:val>
            <c:numRef>
              <c:f>ERRORS!$B$2:$G$2</c:f>
              <c:numCache>
                <c:formatCode>General</c:formatCode>
                <c:ptCount val="6"/>
                <c:pt idx="0">
                  <c:v>5414.6920099999998</c:v>
                </c:pt>
                <c:pt idx="1">
                  <c:v>5418.8667699999996</c:v>
                </c:pt>
                <c:pt idx="2">
                  <c:v>4111.1728899999998</c:v>
                </c:pt>
                <c:pt idx="3" formatCode="0.00E+00">
                  <c:v>5070.6426199999996</c:v>
                </c:pt>
                <c:pt idx="4">
                  <c:v>15657.26181</c:v>
                </c:pt>
                <c:pt idx="5">
                  <c:v>17894.052240000001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3-46C2-847E-9DC8A2D17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5917440"/>
        <c:axId val="1580867040"/>
      </c:barChart>
      <c:catAx>
        <c:axId val="151591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867040"/>
        <c:crosses val="autoZero"/>
        <c:auto val="1"/>
        <c:lblAlgn val="ctr"/>
        <c:lblOffset val="100"/>
        <c:noMultiLvlLbl val="0"/>
      </c:catAx>
      <c:valAx>
        <c:axId val="1580867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91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ERRORS!$A$3</c:f>
              <c:strCache>
                <c:ptCount val="1"/>
                <c:pt idx="0">
                  <c:v>MAPE Comparison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ERRORS!$B$1:$G$1</c:f>
              <c:strCache>
                <c:ptCount val="6"/>
                <c:pt idx="0">
                  <c:v>3 Point Moving Average</c:v>
                </c:pt>
                <c:pt idx="1">
                  <c:v>6 Point Moving Average</c:v>
                </c:pt>
                <c:pt idx="2">
                  <c:v>12 Point Moving Average</c:v>
                </c:pt>
                <c:pt idx="3">
                  <c:v>Exponential Smoothing</c:v>
                </c:pt>
                <c:pt idx="4">
                  <c:v>Holt's Trend Method</c:v>
                </c:pt>
                <c:pt idx="5">
                  <c:v>Winter's Seasonal Method</c:v>
                </c:pt>
              </c:strCache>
            </c:strRef>
          </c:cat>
          <c:val>
            <c:numRef>
              <c:f>ERRORS!$B$3:$G$3</c:f>
              <c:numCache>
                <c:formatCode>General</c:formatCode>
                <c:ptCount val="6"/>
                <c:pt idx="0">
                  <c:v>0.52222000000000002</c:v>
                </c:pt>
                <c:pt idx="1">
                  <c:v>0.51663000000000003</c:v>
                </c:pt>
                <c:pt idx="2">
                  <c:v>0.47577999999999998</c:v>
                </c:pt>
                <c:pt idx="3" formatCode="0.00E+00">
                  <c:v>0.46722000000000002</c:v>
                </c:pt>
                <c:pt idx="4">
                  <c:v>0.98909999999999998</c:v>
                </c:pt>
                <c:pt idx="5">
                  <c:v>0.87382000000000004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8E-404C-ADEA-5242B74E4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9077824"/>
        <c:axId val="1604616256"/>
      </c:barChart>
      <c:catAx>
        <c:axId val="159907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616256"/>
        <c:crosses val="autoZero"/>
        <c:auto val="1"/>
        <c:lblAlgn val="ctr"/>
        <c:lblOffset val="100"/>
        <c:noMultiLvlLbl val="0"/>
      </c:catAx>
      <c:valAx>
        <c:axId val="1604616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907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ERRORS!$A$4</c:f>
              <c:strCache>
                <c:ptCount val="1"/>
                <c:pt idx="0">
                  <c:v>MAD Comparison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ERRORS!$B$1:$G$1</c:f>
              <c:strCache>
                <c:ptCount val="6"/>
                <c:pt idx="0">
                  <c:v>3 Point Moving Average</c:v>
                </c:pt>
                <c:pt idx="1">
                  <c:v>6 Point Moving Average</c:v>
                </c:pt>
                <c:pt idx="2">
                  <c:v>12 Point Moving Average</c:v>
                </c:pt>
                <c:pt idx="3">
                  <c:v>Exponential Smoothing</c:v>
                </c:pt>
                <c:pt idx="4">
                  <c:v>Holt's Trend Method</c:v>
                </c:pt>
                <c:pt idx="5">
                  <c:v>Winter's Seasonal Method</c:v>
                </c:pt>
              </c:strCache>
            </c:strRef>
          </c:cat>
          <c:val>
            <c:numRef>
              <c:f>ERRORS!$B$4:$G$4</c:f>
              <c:numCache>
                <c:formatCode>General</c:formatCode>
                <c:ptCount val="6"/>
                <c:pt idx="0">
                  <c:v>56.649120000000003</c:v>
                </c:pt>
                <c:pt idx="1">
                  <c:v>56.743830000000003</c:v>
                </c:pt>
                <c:pt idx="2">
                  <c:v>49.696179999999998</c:v>
                </c:pt>
                <c:pt idx="3" formatCode="0.00E+00">
                  <c:v>51.889650000000003</c:v>
                </c:pt>
                <c:pt idx="4">
                  <c:v>89.651430000000005</c:v>
                </c:pt>
                <c:pt idx="5">
                  <c:v>102.48071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3B-4F81-9FD9-908331933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9069184"/>
        <c:axId val="1604609808"/>
      </c:barChart>
      <c:catAx>
        <c:axId val="159906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609808"/>
        <c:crosses val="autoZero"/>
        <c:auto val="1"/>
        <c:lblAlgn val="ctr"/>
        <c:lblOffset val="100"/>
        <c:noMultiLvlLbl val="0"/>
      </c:catAx>
      <c:valAx>
        <c:axId val="1604609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906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14</xdr:row>
          <xdr:rowOff>9525</xdr:rowOff>
        </xdr:from>
        <xdr:to>
          <xdr:col>2</xdr:col>
          <xdr:colOff>771525</xdr:colOff>
          <xdr:row>16</xdr:row>
          <xdr:rowOff>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14</xdr:row>
          <xdr:rowOff>0</xdr:rowOff>
        </xdr:from>
        <xdr:to>
          <xdr:col>1</xdr:col>
          <xdr:colOff>552450</xdr:colOff>
          <xdr:row>16</xdr:row>
          <xdr:rowOff>0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1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276225</xdr:colOff>
          <xdr:row>3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2</xdr:row>
      <xdr:rowOff>90487</xdr:rowOff>
    </xdr:from>
    <xdr:to>
      <xdr:col>22</xdr:col>
      <xdr:colOff>57150</xdr:colOff>
      <xdr:row>16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209549</xdr:colOff>
      <xdr:row>1</xdr:row>
      <xdr:rowOff>38100</xdr:rowOff>
    </xdr:from>
    <xdr:to>
      <xdr:col>17</xdr:col>
      <xdr:colOff>514349</xdr:colOff>
      <xdr:row>15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2</xdr:row>
      <xdr:rowOff>171449</xdr:rowOff>
    </xdr:from>
    <xdr:to>
      <xdr:col>18</xdr:col>
      <xdr:colOff>314324</xdr:colOff>
      <xdr:row>17</xdr:row>
      <xdr:rowOff>57149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3</xdr:row>
      <xdr:rowOff>19050</xdr:rowOff>
    </xdr:from>
    <xdr:to>
      <xdr:col>18</xdr:col>
      <xdr:colOff>209549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476249</xdr:colOff>
      <xdr:row>2</xdr:row>
      <xdr:rowOff>85724</xdr:rowOff>
    </xdr:from>
    <xdr:to>
      <xdr:col>18</xdr:col>
      <xdr:colOff>171449</xdr:colOff>
      <xdr:row>16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1</xdr:row>
      <xdr:rowOff>19048</xdr:rowOff>
    </xdr:from>
    <xdr:to>
      <xdr:col>17</xdr:col>
      <xdr:colOff>47625</xdr:colOff>
      <xdr:row>15</xdr:row>
      <xdr:rowOff>95248</xdr:rowOff>
    </xdr:to>
    <xdr:graphicFrame macro="">
      <xdr:nvGraphicFramePr>
        <xdr:cNvPr id="2" name="Chart 1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</xdr:row>
      <xdr:rowOff>0</xdr:rowOff>
    </xdr:from>
    <xdr:to>
      <xdr:col>16</xdr:col>
      <xdr:colOff>552450</xdr:colOff>
      <xdr:row>15</xdr:row>
      <xdr:rowOff>76200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2</xdr:row>
      <xdr:rowOff>142875</xdr:rowOff>
    </xdr:from>
    <xdr:to>
      <xdr:col>17</xdr:col>
      <xdr:colOff>561975</xdr:colOff>
      <xdr:row>17</xdr:row>
      <xdr:rowOff>28575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142875</xdr:rowOff>
    </xdr:from>
    <xdr:to>
      <xdr:col>16</xdr:col>
      <xdr:colOff>504825</xdr:colOff>
      <xdr:row>15</xdr:row>
      <xdr:rowOff>28575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3</xdr:row>
      <xdr:rowOff>23812</xdr:rowOff>
    </xdr:from>
    <xdr:to>
      <xdr:col>17</xdr:col>
      <xdr:colOff>276225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390524</xdr:colOff>
      <xdr:row>1</xdr:row>
      <xdr:rowOff>76200</xdr:rowOff>
    </xdr:from>
    <xdr:to>
      <xdr:col>17</xdr:col>
      <xdr:colOff>85724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128587</xdr:colOff>
      <xdr:row>2</xdr:row>
      <xdr:rowOff>42862</xdr:rowOff>
    </xdr:from>
    <xdr:to>
      <xdr:col>16</xdr:col>
      <xdr:colOff>433387</xdr:colOff>
      <xdr:row>16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2</xdr:row>
      <xdr:rowOff>90487</xdr:rowOff>
    </xdr:from>
    <xdr:to>
      <xdr:col>23</xdr:col>
      <xdr:colOff>28575</xdr:colOff>
      <xdr:row>16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2</xdr:row>
      <xdr:rowOff>90487</xdr:rowOff>
    </xdr:from>
    <xdr:to>
      <xdr:col>23</xdr:col>
      <xdr:colOff>28575</xdr:colOff>
      <xdr:row>16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219074</xdr:colOff>
      <xdr:row>0</xdr:row>
      <xdr:rowOff>171450</xdr:rowOff>
    </xdr:from>
    <xdr:to>
      <xdr:col>16</xdr:col>
      <xdr:colOff>523874</xdr:colOff>
      <xdr:row>15</xdr:row>
      <xdr:rowOff>57150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2</xdr:row>
      <xdr:rowOff>104776</xdr:rowOff>
    </xdr:from>
    <xdr:to>
      <xdr:col>17</xdr:col>
      <xdr:colOff>247650</xdr:colOff>
      <xdr:row>16</xdr:row>
      <xdr:rowOff>180976</xdr:rowOff>
    </xdr:to>
    <xdr:graphicFrame macro="">
      <xdr:nvGraphicFramePr>
        <xdr:cNvPr id="2" name="Chart 6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228599</xdr:colOff>
      <xdr:row>0</xdr:row>
      <xdr:rowOff>123824</xdr:rowOff>
    </xdr:from>
    <xdr:to>
      <xdr:col>16</xdr:col>
      <xdr:colOff>533399</xdr:colOff>
      <xdr:row>15</xdr:row>
      <xdr:rowOff>9524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266699</xdr:colOff>
      <xdr:row>2</xdr:row>
      <xdr:rowOff>9524</xdr:rowOff>
    </xdr:from>
    <xdr:to>
      <xdr:col>16</xdr:col>
      <xdr:colOff>571499</xdr:colOff>
      <xdr:row>16</xdr:row>
      <xdr:rowOff>85724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171450</xdr:rowOff>
    </xdr:from>
    <xdr:to>
      <xdr:col>16</xdr:col>
      <xdr:colOff>561975</xdr:colOff>
      <xdr:row>15</xdr:row>
      <xdr:rowOff>57150</xdr:rowOff>
    </xdr:to>
    <xdr:graphicFrame macro="">
      <xdr:nvGraphicFramePr>
        <xdr:cNvPr id="2" name="Chart 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</xdr:row>
      <xdr:rowOff>9525</xdr:rowOff>
    </xdr:from>
    <xdr:to>
      <xdr:col>16</xdr:col>
      <xdr:colOff>600075</xdr:colOff>
      <xdr:row>15</xdr:row>
      <xdr:rowOff>85725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447676</xdr:colOff>
      <xdr:row>2</xdr:row>
      <xdr:rowOff>57149</xdr:rowOff>
    </xdr:from>
    <xdr:to>
      <xdr:col>12</xdr:col>
      <xdr:colOff>295276</xdr:colOff>
      <xdr:row>16</xdr:row>
      <xdr:rowOff>133349</xdr:rowOff>
    </xdr:to>
    <xdr:graphicFrame macro="">
      <xdr:nvGraphicFramePr>
        <xdr:cNvPr id="2" name="Chart 2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0</xdr:row>
      <xdr:rowOff>123825</xdr:rowOff>
    </xdr:from>
    <xdr:to>
      <xdr:col>12</xdr:col>
      <xdr:colOff>428625</xdr:colOff>
      <xdr:row>15</xdr:row>
      <xdr:rowOff>9525</xdr:rowOff>
    </xdr:to>
    <xdr:graphicFrame macro="">
      <xdr:nvGraphicFramePr>
        <xdr:cNvPr id="2" name="Chart 2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476250</xdr:colOff>
      <xdr:row>0</xdr:row>
      <xdr:rowOff>85725</xdr:rowOff>
    </xdr:from>
    <xdr:to>
      <xdr:col>12</xdr:col>
      <xdr:colOff>323850</xdr:colOff>
      <xdr:row>14</xdr:row>
      <xdr:rowOff>161925</xdr:rowOff>
    </xdr:to>
    <xdr:graphicFrame macro="">
      <xdr:nvGraphicFramePr>
        <xdr:cNvPr id="2" name="Chart 22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DF9438-C6D9-4C7E-A5E2-5A1C7570131F}" name="Datatable" displayName="Datatable" ref="A1:F14" totalsRowShown="0" headerRowDxfId="17" dataDxfId="16" tableBorderDxfId="15">
  <autoFilter ref="A1:F14" xr:uid="{26DF9438-C6D9-4C7E-A5E2-5A1C7570131F}"/>
  <tableColumns count="6">
    <tableColumn id="1" xr3:uid="{B3C69ED4-191E-4FB0-AA84-1D0DC33D5A80}" name="EDIT DATA" dataDxfId="14"/>
    <tableColumn id="2" xr3:uid="{4C4AD849-53CE-4F44-9462-CF53749C535C}" name="2018-2019" dataDxfId="13"/>
    <tableColumn id="3" xr3:uid="{F0EF473D-B48B-4F97-B6F4-99DD91C23F27}" name="2019-2020" dataDxfId="12"/>
    <tableColumn id="4" xr3:uid="{E28EEE78-F8EC-4672-8B2D-2D53DA36FB3C}" name="2020-2021" dataDxfId="11"/>
    <tableColumn id="5" xr3:uid="{FAEA352F-CFB5-49E4-AB65-D8D28B202CA2}" name="2021-2022" dataDxfId="10"/>
    <tableColumn id="6" xr3:uid="{A3F1202E-AF02-4A81-96DC-F2CFC2C12F96}" name="2022-2023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8129CC-53F3-4DCA-9F35-32ADC33719A9}" name="Data_table" displayName="Data_table" ref="A1:F14" totalsRowShown="0" headerRowDxfId="8" dataDxfId="7" tableBorderDxfId="6">
  <autoFilter ref="A1:F14" xr:uid="{0C8129CC-53F3-4DCA-9F35-32ADC33719A9}"/>
  <tableColumns count="6">
    <tableColumn id="1" xr3:uid="{04324A76-F196-4C34-AB4B-822A575EFFE5}" name="DATA" dataDxfId="5"/>
    <tableColumn id="2" xr3:uid="{0B6BDE24-35E3-41AC-8438-8CC24C30ACE8}" name="2018-2019" dataDxfId="4"/>
    <tableColumn id="3" xr3:uid="{1A7AC1BA-5211-492A-AB55-42EE915DB8CE}" name="2019-2020" dataDxfId="3"/>
    <tableColumn id="4" xr3:uid="{7EDA8C44-F94B-4A03-B7E8-301BBBE1F34C}" name="2020-2021" dataDxfId="2"/>
    <tableColumn id="5" xr3:uid="{65EA67FE-BF23-445C-85D2-C8A74EE3DE40}" name="2021-2022" dataDxfId="1"/>
    <tableColumn id="6" xr3:uid="{7B66026A-4800-4317-8E02-B530503068B5}" name="2022-202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12048-C940-4E90-B79D-9DEB3AAC9B28}">
  <sheetPr codeName="Sheet2"/>
  <dimension ref="A1:AT61"/>
  <sheetViews>
    <sheetView workbookViewId="0">
      <selection activeCell="M1" sqref="M1:P1048576"/>
    </sheetView>
  </sheetViews>
  <sheetFormatPr defaultRowHeight="15" x14ac:dyDescent="0.25"/>
  <cols>
    <col min="1" max="1" width="9.7109375" bestFit="1" customWidth="1"/>
    <col min="2" max="2" width="9.28515625" bestFit="1" customWidth="1"/>
    <col min="3" max="3" width="12" bestFit="1" customWidth="1"/>
    <col min="4" max="4" width="9.140625" bestFit="1" customWidth="1"/>
    <col min="5" max="5" width="22.28515625" style="24" bestFit="1" customWidth="1"/>
    <col min="6" max="6" width="24.28515625" style="24" bestFit="1" customWidth="1"/>
    <col min="7" max="8" width="9.140625" style="3"/>
    <col min="9" max="9" width="16.42578125" style="24" bestFit="1" customWidth="1"/>
    <col min="10" max="12" width="16.42578125" style="3" customWidth="1"/>
    <col min="13" max="13" width="16.42578125" style="24" customWidth="1"/>
    <col min="14" max="14" width="22.42578125" style="24" bestFit="1" customWidth="1"/>
    <col min="15" max="15" width="22.28515625" style="24" bestFit="1" customWidth="1"/>
    <col min="16" max="16" width="23.28515625" style="24" bestFit="1" customWidth="1"/>
    <col min="17" max="38" width="16.42578125" customWidth="1"/>
    <col min="39" max="39" width="12.7109375" bestFit="1" customWidth="1"/>
    <col min="40" max="40" width="16.42578125" bestFit="1" customWidth="1"/>
  </cols>
  <sheetData>
    <row r="1" spans="1:46" x14ac:dyDescent="0.25">
      <c r="A1" s="1"/>
      <c r="B1" s="1" t="s">
        <v>0</v>
      </c>
      <c r="C1" s="1" t="s">
        <v>1</v>
      </c>
      <c r="D1" s="1" t="s">
        <v>2</v>
      </c>
      <c r="E1" s="22" t="s">
        <v>3</v>
      </c>
      <c r="F1" s="22" t="s">
        <v>4</v>
      </c>
      <c r="G1" s="2" t="s">
        <v>5</v>
      </c>
      <c r="H1" s="2" t="s">
        <v>6</v>
      </c>
      <c r="I1" s="22" t="s">
        <v>39</v>
      </c>
      <c r="J1" s="2" t="s">
        <v>7</v>
      </c>
      <c r="K1" s="2" t="s">
        <v>8</v>
      </c>
      <c r="L1" s="2" t="s">
        <v>9</v>
      </c>
      <c r="M1" s="22" t="s">
        <v>40</v>
      </c>
      <c r="N1" s="22" t="str">
        <f>S1 &amp;" Point Moving Average"</f>
        <v>14 Point Moving Average</v>
      </c>
      <c r="O1" s="22" t="s">
        <v>11</v>
      </c>
      <c r="P1" s="22" t="s">
        <v>12</v>
      </c>
      <c r="S1" s="3">
        <v>14</v>
      </c>
      <c r="AK1" t="s">
        <v>7</v>
      </c>
      <c r="AL1" t="s">
        <v>8</v>
      </c>
      <c r="AM1" t="s">
        <v>9</v>
      </c>
      <c r="AN1" t="s">
        <v>10</v>
      </c>
      <c r="AR1">
        <v>0.4</v>
      </c>
      <c r="AS1">
        <v>0.4</v>
      </c>
      <c r="AT1">
        <v>0.4</v>
      </c>
    </row>
    <row r="2" spans="1:46" x14ac:dyDescent="0.25">
      <c r="A2" s="26" t="s">
        <v>13</v>
      </c>
      <c r="B2" s="1" t="s">
        <v>14</v>
      </c>
      <c r="C2" s="4">
        <f>Historical_Data!$B3</f>
        <v>40</v>
      </c>
      <c r="D2" s="4">
        <v>1</v>
      </c>
      <c r="E2" s="23"/>
      <c r="F2" s="23">
        <v>40</v>
      </c>
      <c r="G2" s="5">
        <v>40</v>
      </c>
      <c r="H2" s="5">
        <v>174</v>
      </c>
      <c r="I2" s="23"/>
      <c r="J2" s="5"/>
      <c r="K2" s="5"/>
      <c r="L2" s="5">
        <v>0.30169704588309237</v>
      </c>
      <c r="M2" s="23"/>
      <c r="N2" s="23"/>
      <c r="O2" s="23"/>
      <c r="P2" s="23"/>
      <c r="AM2">
        <f>C2/AVERAGE($C$2:$C$13)</f>
        <v>0.30169704588309237</v>
      </c>
      <c r="AR2" t="s">
        <v>15</v>
      </c>
      <c r="AS2" t="s">
        <v>16</v>
      </c>
      <c r="AT2" t="s">
        <v>17</v>
      </c>
    </row>
    <row r="3" spans="1:46" x14ac:dyDescent="0.25">
      <c r="A3" s="26"/>
      <c r="B3" s="1" t="s">
        <v>18</v>
      </c>
      <c r="C3" s="4">
        <f>Historical_Data!$B4</f>
        <v>214</v>
      </c>
      <c r="D3" s="4">
        <v>2</v>
      </c>
      <c r="E3" s="23"/>
      <c r="F3" s="23">
        <v>40</v>
      </c>
      <c r="G3" s="5">
        <v>214.00000000000003</v>
      </c>
      <c r="H3" s="5">
        <v>174</v>
      </c>
      <c r="I3" s="23">
        <v>214</v>
      </c>
      <c r="J3" s="5"/>
      <c r="K3" s="5"/>
      <c r="L3" s="5">
        <v>1.6140791954745441</v>
      </c>
      <c r="M3" s="23"/>
      <c r="N3" s="23"/>
      <c r="O3" s="23"/>
      <c r="P3" s="23"/>
      <c r="AM3">
        <f t="shared" ref="AM3:AM13" si="0">C3/AVERAGE($C$2:$C$13)</f>
        <v>1.6140791954745441</v>
      </c>
    </row>
    <row r="4" spans="1:46" x14ac:dyDescent="0.25">
      <c r="A4" s="26"/>
      <c r="B4" s="1" t="s">
        <v>19</v>
      </c>
      <c r="C4" s="4">
        <f>Historical_Data!$B5</f>
        <v>60</v>
      </c>
      <c r="D4" s="4">
        <v>3</v>
      </c>
      <c r="E4" s="23"/>
      <c r="F4" s="23">
        <v>74.800000000000011</v>
      </c>
      <c r="G4" s="5">
        <v>322.40000000000003</v>
      </c>
      <c r="H4" s="5">
        <v>121.52000000000001</v>
      </c>
      <c r="I4" s="23">
        <v>388</v>
      </c>
      <c r="J4" s="5"/>
      <c r="K4" s="5"/>
      <c r="L4" s="5">
        <v>0.45254556882463853</v>
      </c>
      <c r="M4" s="23"/>
      <c r="N4" s="23"/>
      <c r="O4" s="23"/>
      <c r="P4" s="23"/>
      <c r="AM4">
        <f t="shared" si="0"/>
        <v>0.45254556882463853</v>
      </c>
    </row>
    <row r="5" spans="1:46" x14ac:dyDescent="0.25">
      <c r="A5" s="26"/>
      <c r="B5" s="1" t="s">
        <v>20</v>
      </c>
      <c r="C5" s="4">
        <f>Historical_Data!$B6</f>
        <v>138</v>
      </c>
      <c r="D5" s="4">
        <v>4</v>
      </c>
      <c r="E5" s="23">
        <v>104.66666666666667</v>
      </c>
      <c r="F5" s="23">
        <v>71.84</v>
      </c>
      <c r="G5" s="5">
        <v>382.7360000000001</v>
      </c>
      <c r="H5" s="5">
        <v>72.572800000000058</v>
      </c>
      <c r="I5" s="23">
        <v>443.92000000000007</v>
      </c>
      <c r="J5" s="5"/>
      <c r="K5" s="5"/>
      <c r="L5" s="5">
        <v>1.0408548082966687</v>
      </c>
      <c r="M5" s="23"/>
      <c r="N5" s="23"/>
      <c r="O5" s="23"/>
      <c r="P5" s="23"/>
      <c r="AM5">
        <f t="shared" si="0"/>
        <v>1.0408548082966687</v>
      </c>
    </row>
    <row r="6" spans="1:46" x14ac:dyDescent="0.25">
      <c r="A6" s="26"/>
      <c r="B6" s="1" t="s">
        <v>21</v>
      </c>
      <c r="C6" s="4">
        <f>Historical_Data!$B7</f>
        <v>65</v>
      </c>
      <c r="D6" s="4">
        <v>5</v>
      </c>
      <c r="E6" s="23">
        <v>137.33333333333334</v>
      </c>
      <c r="F6" s="23">
        <v>85.072000000000003</v>
      </c>
      <c r="G6" s="5">
        <v>377.24704000000014</v>
      </c>
      <c r="H6" s="5">
        <v>10.123392000000038</v>
      </c>
      <c r="I6" s="23">
        <v>455.30880000000013</v>
      </c>
      <c r="J6" s="5"/>
      <c r="K6" s="5"/>
      <c r="L6" s="5">
        <v>0.49025769956002513</v>
      </c>
      <c r="M6" s="23"/>
      <c r="N6" s="23"/>
      <c r="O6" s="23"/>
      <c r="P6" s="23"/>
      <c r="AM6">
        <f t="shared" si="0"/>
        <v>0.49025769956002513</v>
      </c>
    </row>
    <row r="7" spans="1:46" x14ac:dyDescent="0.25">
      <c r="A7" s="26"/>
      <c r="B7" s="1" t="s">
        <v>22</v>
      </c>
      <c r="C7" s="4">
        <f>Historical_Data!$B8</f>
        <v>36</v>
      </c>
      <c r="D7" s="4">
        <v>6</v>
      </c>
      <c r="E7" s="23">
        <v>87.666666666666671</v>
      </c>
      <c r="F7" s="23">
        <v>81.057600000000008</v>
      </c>
      <c r="G7" s="5">
        <v>317.09634560000012</v>
      </c>
      <c r="H7" s="5">
        <v>-46.095877120000011</v>
      </c>
      <c r="I7" s="23">
        <v>387.37043200000016</v>
      </c>
      <c r="J7" s="5"/>
      <c r="K7" s="5"/>
      <c r="L7" s="5">
        <v>0.27152734129478312</v>
      </c>
      <c r="M7" s="23"/>
      <c r="N7" s="23"/>
      <c r="O7" s="23"/>
      <c r="P7" s="23"/>
      <c r="AM7">
        <f t="shared" si="0"/>
        <v>0.27152734129478312</v>
      </c>
    </row>
    <row r="8" spans="1:46" x14ac:dyDescent="0.25">
      <c r="A8" s="26"/>
      <c r="B8" s="1" t="s">
        <v>23</v>
      </c>
      <c r="C8" s="4">
        <f>Historical_Data!$B9</f>
        <v>267</v>
      </c>
      <c r="D8" s="4">
        <v>7</v>
      </c>
      <c r="E8" s="23">
        <v>79.666666666666671</v>
      </c>
      <c r="F8" s="23">
        <v>72.046080000000018</v>
      </c>
      <c r="G8" s="5">
        <v>270.20037478400013</v>
      </c>
      <c r="H8" s="5">
        <v>-46.73595207679999</v>
      </c>
      <c r="I8" s="23">
        <v>271.00046848000011</v>
      </c>
      <c r="J8" s="5"/>
      <c r="K8" s="5"/>
      <c r="L8" s="5">
        <v>2.0138277812696415</v>
      </c>
      <c r="M8" s="23"/>
      <c r="N8" s="23"/>
      <c r="O8" s="23">
        <v>92.166666666666671</v>
      </c>
      <c r="P8" s="23"/>
      <c r="AM8">
        <f t="shared" si="0"/>
        <v>2.0138277812696415</v>
      </c>
    </row>
    <row r="9" spans="1:46" x14ac:dyDescent="0.25">
      <c r="A9" s="26"/>
      <c r="B9" s="1" t="s">
        <v>24</v>
      </c>
      <c r="C9" s="4">
        <f>Historical_Data!$B10</f>
        <v>103</v>
      </c>
      <c r="D9" s="4">
        <v>8</v>
      </c>
      <c r="E9" s="23">
        <v>122.66666666666667</v>
      </c>
      <c r="F9" s="23">
        <v>111.03686400000002</v>
      </c>
      <c r="G9" s="5">
        <v>199.37153816576011</v>
      </c>
      <c r="H9" s="5">
        <v>-66.01025970995201</v>
      </c>
      <c r="I9" s="23">
        <v>223.46442270720013</v>
      </c>
      <c r="J9" s="5"/>
      <c r="K9" s="5"/>
      <c r="L9" s="5">
        <v>0.77686989314896282</v>
      </c>
      <c r="M9" s="23"/>
      <c r="N9" s="23"/>
      <c r="O9" s="23">
        <v>130</v>
      </c>
      <c r="P9" s="23"/>
      <c r="AM9">
        <f t="shared" si="0"/>
        <v>0.77686989314896282</v>
      </c>
    </row>
    <row r="10" spans="1:46" x14ac:dyDescent="0.25">
      <c r="A10" s="26"/>
      <c r="B10" s="1" t="s">
        <v>25</v>
      </c>
      <c r="C10" s="4">
        <f>Historical_Data!$B11</f>
        <v>164</v>
      </c>
      <c r="D10" s="4">
        <v>9</v>
      </c>
      <c r="E10" s="23">
        <v>135.33333333333334</v>
      </c>
      <c r="F10" s="23">
        <v>109.42949120000003</v>
      </c>
      <c r="G10" s="5">
        <v>139.48902276464651</v>
      </c>
      <c r="H10" s="5">
        <v>-61.108064262881285</v>
      </c>
      <c r="I10" s="23">
        <v>133.3612784558081</v>
      </c>
      <c r="J10" s="5"/>
      <c r="K10" s="5"/>
      <c r="L10" s="5">
        <v>1.2369578881206786</v>
      </c>
      <c r="M10" s="23"/>
      <c r="N10" s="23"/>
      <c r="O10" s="23">
        <v>111.5</v>
      </c>
      <c r="P10" s="23"/>
      <c r="AM10">
        <f t="shared" si="0"/>
        <v>1.2369578881206786</v>
      </c>
    </row>
    <row r="11" spans="1:46" x14ac:dyDescent="0.25">
      <c r="A11" s="26"/>
      <c r="B11" s="1" t="s">
        <v>26</v>
      </c>
      <c r="C11" s="4">
        <f>Historical_Data!$B12</f>
        <v>232</v>
      </c>
      <c r="D11" s="4">
        <v>10</v>
      </c>
      <c r="E11" s="23">
        <v>178</v>
      </c>
      <c r="F11" s="23">
        <v>120.34359296000002</v>
      </c>
      <c r="G11" s="5">
        <v>109.10476680141218</v>
      </c>
      <c r="H11" s="5">
        <v>-36.52901762316371</v>
      </c>
      <c r="I11" s="23">
        <v>78.380958501765221</v>
      </c>
      <c r="J11" s="5"/>
      <c r="K11" s="5"/>
      <c r="L11" s="5">
        <v>1.7498428661219358</v>
      </c>
      <c r="M11" s="23"/>
      <c r="N11" s="23"/>
      <c r="O11" s="23">
        <v>128.83333333333334</v>
      </c>
      <c r="P11" s="23"/>
      <c r="AM11">
        <f t="shared" si="0"/>
        <v>1.7498428661219358</v>
      </c>
    </row>
    <row r="12" spans="1:46" x14ac:dyDescent="0.25">
      <c r="A12" s="26"/>
      <c r="B12" s="1" t="s">
        <v>27</v>
      </c>
      <c r="C12" s="4">
        <f>Historical_Data!$B13</f>
        <v>140</v>
      </c>
      <c r="D12" s="4">
        <v>11</v>
      </c>
      <c r="E12" s="23">
        <v>166.33333333333334</v>
      </c>
      <c r="F12" s="23">
        <v>142.67487436800002</v>
      </c>
      <c r="G12" s="5">
        <v>86.060599342598778</v>
      </c>
      <c r="H12" s="5">
        <v>-25.741137491683464</v>
      </c>
      <c r="I12" s="23">
        <v>72.575749178248472</v>
      </c>
      <c r="J12" s="5"/>
      <c r="K12" s="5"/>
      <c r="L12" s="5">
        <v>1.0559396605908233</v>
      </c>
      <c r="M12" s="23"/>
      <c r="N12" s="23"/>
      <c r="O12" s="23">
        <v>144.5</v>
      </c>
      <c r="P12" s="23"/>
      <c r="AM12">
        <f t="shared" si="0"/>
        <v>1.0559396605908233</v>
      </c>
    </row>
    <row r="13" spans="1:46" x14ac:dyDescent="0.25">
      <c r="A13" s="26"/>
      <c r="B13" s="1" t="s">
        <v>28</v>
      </c>
      <c r="C13" s="4">
        <f>Historical_Data!$B14</f>
        <v>132</v>
      </c>
      <c r="D13" s="4">
        <v>12</v>
      </c>
      <c r="E13" s="23">
        <v>178.66666666666666</v>
      </c>
      <c r="F13" s="23">
        <v>142.13989949440003</v>
      </c>
      <c r="G13" s="5">
        <v>74.655569480732254</v>
      </c>
      <c r="H13" s="5">
        <v>-14.272251387829911</v>
      </c>
      <c r="I13" s="23">
        <v>60.319461850915317</v>
      </c>
      <c r="J13" s="5"/>
      <c r="K13" s="5"/>
      <c r="L13" s="5">
        <v>0.99560025141420483</v>
      </c>
      <c r="M13" s="23"/>
      <c r="N13" s="23"/>
      <c r="O13" s="23">
        <v>157</v>
      </c>
      <c r="P13" s="23"/>
      <c r="AM13">
        <f t="shared" si="0"/>
        <v>0.99560025141420483</v>
      </c>
    </row>
    <row r="14" spans="1:46" x14ac:dyDescent="0.25">
      <c r="A14" s="26" t="s">
        <v>29</v>
      </c>
      <c r="B14" s="1" t="s">
        <v>14</v>
      </c>
      <c r="C14" s="4">
        <f>Historical_Data!C3</f>
        <v>59</v>
      </c>
      <c r="D14" s="4">
        <v>13</v>
      </c>
      <c r="E14" s="23">
        <v>168</v>
      </c>
      <c r="F14" s="23">
        <v>140.11191959552002</v>
      </c>
      <c r="G14" s="5">
        <v>60.106654474321871</v>
      </c>
      <c r="H14" s="5">
        <v>-14.493582282694287</v>
      </c>
      <c r="I14" s="23">
        <v>60.383318092902343</v>
      </c>
      <c r="J14" s="5">
        <v>195.56041666666667</v>
      </c>
      <c r="K14" s="5">
        <v>62.977083333333326</v>
      </c>
      <c r="L14" s="5">
        <v>0.30169704588309237</v>
      </c>
      <c r="M14" s="23"/>
      <c r="N14" s="23"/>
      <c r="O14" s="23">
        <v>173</v>
      </c>
      <c r="P14" s="23">
        <v>132.58333333333334</v>
      </c>
      <c r="AK14">
        <f>C14/AM2</f>
        <v>195.56041666666667</v>
      </c>
      <c r="AL14">
        <f>(C14/AM2)-(C13/AM13)</f>
        <v>62.977083333333326</v>
      </c>
      <c r="AM14">
        <f>($AT$1*C14/AK14)+((1-$AT$1)*AM2)</f>
        <v>0.30169704588309237</v>
      </c>
    </row>
    <row r="15" spans="1:46" x14ac:dyDescent="0.25">
      <c r="A15" s="26"/>
      <c r="B15" s="1" t="s">
        <v>18</v>
      </c>
      <c r="C15" s="4">
        <f>Historical_Data!C4</f>
        <v>228</v>
      </c>
      <c r="D15" s="4">
        <v>14</v>
      </c>
      <c r="E15" s="23">
        <v>110.33333333333333</v>
      </c>
      <c r="F15" s="23">
        <v>123.88953567641602</v>
      </c>
      <c r="G15" s="5">
        <v>82.090457753302076</v>
      </c>
      <c r="H15" s="5">
        <v>14.688326166645307</v>
      </c>
      <c r="I15" s="23">
        <v>45.61307219162758</v>
      </c>
      <c r="J15" s="5">
        <v>235.08140186915892</v>
      </c>
      <c r="K15" s="5">
        <v>44.212204828660468</v>
      </c>
      <c r="L15" s="5">
        <v>1.034297048029893</v>
      </c>
      <c r="M15" s="23">
        <v>417.3</v>
      </c>
      <c r="N15" s="23"/>
      <c r="O15" s="23">
        <v>138.33333333333334</v>
      </c>
      <c r="P15" s="23">
        <v>134.16666666666666</v>
      </c>
      <c r="AK15">
        <f>($AR$1*C15/AM3)+((1-$AR$1)*(AK14+AL14))</f>
        <v>211.62530373831777</v>
      </c>
      <c r="AL15">
        <f>($AS$1*(AK15-AK14))+((1-$AS$1)*AL14)</f>
        <v>44.212204828660433</v>
      </c>
      <c r="AM15">
        <f t="shared" ref="AM15:AM61" si="1">($AT$1*C15/AK15)+((1-$AT$1)*AM3)</f>
        <v>1.3993978733573256</v>
      </c>
      <c r="AN15">
        <f>(AK14+AL14)*AM3</f>
        <v>417.3</v>
      </c>
    </row>
    <row r="16" spans="1:46" x14ac:dyDescent="0.25">
      <c r="A16" s="26"/>
      <c r="B16" s="1" t="s">
        <v>19</v>
      </c>
      <c r="C16" s="4">
        <f>Historical_Data!C5</f>
        <v>51</v>
      </c>
      <c r="D16" s="4">
        <v>15</v>
      </c>
      <c r="E16" s="23">
        <v>139.66666666666666</v>
      </c>
      <c r="F16" s="23">
        <v>144.71162854113282</v>
      </c>
      <c r="G16" s="5">
        <v>87.623027135957912</v>
      </c>
      <c r="H16" s="5">
        <v>7.3637207394537301</v>
      </c>
      <c r="I16" s="23">
        <v>96.778783919947386</v>
      </c>
      <c r="J16" s="5">
        <v>245.97405202492217</v>
      </c>
      <c r="K16" s="5">
        <v>17.55656109034269</v>
      </c>
      <c r="L16" s="5">
        <v>0.23185960575708822</v>
      </c>
      <c r="M16" s="23">
        <v>126.39308411214954</v>
      </c>
      <c r="N16" s="23"/>
      <c r="O16" s="23">
        <v>159.16666666666666</v>
      </c>
      <c r="P16" s="23">
        <v>135.33333333333334</v>
      </c>
      <c r="AK16">
        <f t="shared" ref="AK16:AK61" si="2">($AR$1*C16/AM4)+((1-$AR$1)*(AK15+AL15))</f>
        <v>198.58083847352026</v>
      </c>
      <c r="AL16">
        <f t="shared" ref="AL16:AL61" si="3">($AS$1*(AK16-AK15))+((1-$AS$1)*AL15)</f>
        <v>21.309536791277257</v>
      </c>
      <c r="AM16">
        <f t="shared" si="1"/>
        <v>0.37425628612558176</v>
      </c>
      <c r="AN16">
        <f t="shared" ref="AN16:AN61" si="4">(AK15+AL15)*AM4</f>
        <v>115.7781308411215</v>
      </c>
    </row>
    <row r="17" spans="1:40" x14ac:dyDescent="0.25">
      <c r="A17" s="26"/>
      <c r="B17" s="1" t="s">
        <v>20</v>
      </c>
      <c r="C17" s="4">
        <f>Historical_Data!C6</f>
        <v>123</v>
      </c>
      <c r="D17" s="4">
        <v>16</v>
      </c>
      <c r="E17" s="23">
        <v>112.66666666666667</v>
      </c>
      <c r="F17" s="23">
        <v>125.96930283290627</v>
      </c>
      <c r="G17" s="5">
        <v>100.58939830032932</v>
      </c>
      <c r="H17" s="5">
        <v>11.845841079387874</v>
      </c>
      <c r="I17" s="23">
        <v>94.986747875411638</v>
      </c>
      <c r="J17" s="5">
        <v>234.45891078206699</v>
      </c>
      <c r="K17" s="5">
        <v>-5.7008007762156065</v>
      </c>
      <c r="L17" s="5">
        <v>0.57623644165579335</v>
      </c>
      <c r="M17" s="23">
        <v>274.29710579439256</v>
      </c>
      <c r="N17" s="23"/>
      <c r="O17" s="23">
        <v>140.33333333333334</v>
      </c>
      <c r="P17" s="23">
        <v>134.58333333333334</v>
      </c>
      <c r="AK17">
        <f t="shared" si="2"/>
        <v>179.20306573858863</v>
      </c>
      <c r="AL17">
        <f t="shared" si="3"/>
        <v>5.0346129807937023</v>
      </c>
      <c r="AM17">
        <f t="shared" si="1"/>
        <v>0.89906175944742683</v>
      </c>
      <c r="AN17">
        <f t="shared" si="4"/>
        <v>228.87395439252336</v>
      </c>
    </row>
    <row r="18" spans="1:40" x14ac:dyDescent="0.25">
      <c r="A18" s="26"/>
      <c r="B18" s="1" t="s">
        <v>21</v>
      </c>
      <c r="C18" s="4">
        <f>Historical_Data!C7</f>
        <v>98</v>
      </c>
      <c r="D18" s="4">
        <v>17</v>
      </c>
      <c r="E18" s="23">
        <v>134</v>
      </c>
      <c r="F18" s="23">
        <v>125.37544226632502</v>
      </c>
      <c r="G18" s="5">
        <v>109.54819150377375</v>
      </c>
      <c r="H18" s="5">
        <v>9.5362027786331183</v>
      </c>
      <c r="I18" s="23">
        <v>112.43523937971719</v>
      </c>
      <c r="J18" s="5">
        <v>222.9854623636555</v>
      </c>
      <c r="K18" s="5">
        <v>-10.318918889972316</v>
      </c>
      <c r="L18" s="5">
        <v>0.44456725084482906</v>
      </c>
      <c r="M18" s="23">
        <v>112.15042476716788</v>
      </c>
      <c r="N18" s="23">
        <v>128.42857142857142</v>
      </c>
      <c r="O18" s="23">
        <v>122.16666666666667</v>
      </c>
      <c r="P18" s="23">
        <v>133.33333333333334</v>
      </c>
      <c r="AK18">
        <f t="shared" si="2"/>
        <v>190.50055594957811</v>
      </c>
      <c r="AL18">
        <f t="shared" si="3"/>
        <v>7.5397638728720136</v>
      </c>
      <c r="AM18">
        <f t="shared" si="1"/>
        <v>0.49992829742740985</v>
      </c>
      <c r="AN18">
        <f t="shared" si="4"/>
        <v>90.323940541243374</v>
      </c>
    </row>
    <row r="19" spans="1:40" x14ac:dyDescent="0.25">
      <c r="A19" s="26"/>
      <c r="B19" s="1" t="s">
        <v>22</v>
      </c>
      <c r="C19" s="4">
        <f>Historical_Data!C8</f>
        <v>124</v>
      </c>
      <c r="D19" s="4">
        <v>18</v>
      </c>
      <c r="E19" s="23">
        <v>90.666666666666671</v>
      </c>
      <c r="F19" s="23">
        <v>119.90035381306004</v>
      </c>
      <c r="G19" s="5">
        <v>120.06751542592549</v>
      </c>
      <c r="H19" s="5">
        <v>10.322699693448017</v>
      </c>
      <c r="I19" s="23">
        <v>119.08439428240686</v>
      </c>
      <c r="J19" s="5">
        <v>261.46841996413173</v>
      </c>
      <c r="K19" s="5">
        <v>28.72258230238652</v>
      </c>
      <c r="L19" s="5">
        <v>0.45397292149783935</v>
      </c>
      <c r="M19" s="23">
        <v>57.744781131760611</v>
      </c>
      <c r="N19" s="23">
        <v>131.14285714285714</v>
      </c>
      <c r="O19" s="23">
        <v>115.16666666666667</v>
      </c>
      <c r="P19" s="23">
        <v>136.08333333333334</v>
      </c>
      <c r="AK19">
        <f t="shared" si="2"/>
        <v>301.49456226384046</v>
      </c>
      <c r="AL19">
        <f t="shared" si="3"/>
        <v>48.921460849428151</v>
      </c>
      <c r="AM19">
        <f t="shared" si="1"/>
        <v>0.32743015131865527</v>
      </c>
      <c r="AN19">
        <f t="shared" si="4"/>
        <v>53.773361510558416</v>
      </c>
    </row>
    <row r="20" spans="1:40" x14ac:dyDescent="0.25">
      <c r="A20" s="26"/>
      <c r="B20" s="1" t="s">
        <v>23</v>
      </c>
      <c r="C20" s="4">
        <f>Historical_Data!C9</f>
        <v>163</v>
      </c>
      <c r="D20" s="4">
        <v>19</v>
      </c>
      <c r="E20" s="23">
        <v>115</v>
      </c>
      <c r="F20" s="23">
        <v>120.72028305044803</v>
      </c>
      <c r="G20" s="5">
        <v>136.91217209549882</v>
      </c>
      <c r="H20" s="5">
        <v>15.540265274348263</v>
      </c>
      <c r="I20" s="23">
        <v>130.39021511937352</v>
      </c>
      <c r="J20" s="5">
        <v>248.34087921646056</v>
      </c>
      <c r="K20" s="5">
        <v>-4.7575161376596276</v>
      </c>
      <c r="L20" s="5">
        <v>0.79210308347038016</v>
      </c>
      <c r="M20" s="23">
        <v>584.39470223879596</v>
      </c>
      <c r="N20" s="23">
        <v>130.14285714285714</v>
      </c>
      <c r="O20" s="23">
        <v>113.83333333333333</v>
      </c>
      <c r="P20" s="23">
        <v>143.41666666666666</v>
      </c>
      <c r="AK20">
        <f t="shared" si="2"/>
        <v>242.62576867445307</v>
      </c>
      <c r="AL20">
        <f t="shared" si="3"/>
        <v>5.8053590739019292</v>
      </c>
      <c r="AM20">
        <f t="shared" si="1"/>
        <v>1.4770232774654264</v>
      </c>
      <c r="AN20">
        <f t="shared" si="4"/>
        <v>705.67752234752516</v>
      </c>
    </row>
    <row r="21" spans="1:40" x14ac:dyDescent="0.25">
      <c r="A21" s="26"/>
      <c r="B21" s="1" t="s">
        <v>24</v>
      </c>
      <c r="C21" s="4">
        <f>Historical_Data!C10</f>
        <v>357</v>
      </c>
      <c r="D21" s="4">
        <v>20</v>
      </c>
      <c r="E21" s="23">
        <v>128.33333333333334</v>
      </c>
      <c r="F21" s="23">
        <v>129.17622644035842</v>
      </c>
      <c r="G21" s="5">
        <v>193.36194989587767</v>
      </c>
      <c r="H21" s="5">
        <v>48.267875295172736</v>
      </c>
      <c r="I21" s="23">
        <v>152.45243736984708</v>
      </c>
      <c r="J21" s="5">
        <v>286.77397201643885</v>
      </c>
      <c r="K21" s="5">
        <v>29.794971012450702</v>
      </c>
      <c r="L21" s="5">
        <v>1.1980815556027391</v>
      </c>
      <c r="M21" s="23">
        <v>189.23258124789311</v>
      </c>
      <c r="N21" s="23">
        <v>137.14285714285714</v>
      </c>
      <c r="O21" s="23">
        <v>131.16666666666666</v>
      </c>
      <c r="P21" s="23">
        <v>134.75</v>
      </c>
      <c r="AK21">
        <f t="shared" si="2"/>
        <v>332.87323975580915</v>
      </c>
      <c r="AL21">
        <f t="shared" si="3"/>
        <v>39.58220387688359</v>
      </c>
      <c r="AM21">
        <f t="shared" si="1"/>
        <v>0.89511406546024963</v>
      </c>
      <c r="AN21">
        <f t="shared" si="4"/>
        <v>192.99866366874087</v>
      </c>
    </row>
    <row r="22" spans="1:40" x14ac:dyDescent="0.25">
      <c r="A22" s="26"/>
      <c r="B22" s="1" t="s">
        <v>25</v>
      </c>
      <c r="C22" s="4">
        <f>Historical_Data!C11</f>
        <v>133</v>
      </c>
      <c r="D22" s="4">
        <v>21</v>
      </c>
      <c r="E22" s="23">
        <v>214.66666666666666</v>
      </c>
      <c r="F22" s="23">
        <v>174.74098115228674</v>
      </c>
      <c r="G22" s="5">
        <v>219.90386015284034</v>
      </c>
      <c r="H22" s="5">
        <v>30.887103264604679</v>
      </c>
      <c r="I22" s="23">
        <v>241.6298251910504</v>
      </c>
      <c r="J22" s="5">
        <v>274.75952434181085</v>
      </c>
      <c r="K22" s="5">
        <v>-3.652563937212264</v>
      </c>
      <c r="L22" s="5">
        <v>0.55934947647491606</v>
      </c>
      <c r="M22" s="23">
        <v>391.58245121361063</v>
      </c>
      <c r="N22" s="23">
        <v>160.07142857142858</v>
      </c>
      <c r="O22" s="23">
        <v>152.66666666666666</v>
      </c>
      <c r="P22" s="23">
        <v>155.91666666666666</v>
      </c>
      <c r="AK22">
        <f t="shared" si="2"/>
        <v>266.48200601701399</v>
      </c>
      <c r="AL22">
        <f t="shared" si="3"/>
        <v>-2.8071711693879173</v>
      </c>
      <c r="AM22">
        <f t="shared" si="1"/>
        <v>0.94181297785245799</v>
      </c>
      <c r="AN22">
        <f t="shared" si="4"/>
        <v>460.71169897494605</v>
      </c>
    </row>
    <row r="23" spans="1:40" x14ac:dyDescent="0.25">
      <c r="A23" s="26"/>
      <c r="B23" s="1" t="s">
        <v>26</v>
      </c>
      <c r="C23" s="4">
        <f>Historical_Data!C12</f>
        <v>161</v>
      </c>
      <c r="D23" s="4">
        <v>22</v>
      </c>
      <c r="E23" s="23">
        <v>217.66666666666666</v>
      </c>
      <c r="F23" s="23">
        <v>166.39278492182939</v>
      </c>
      <c r="G23" s="5">
        <v>232.83277073395601</v>
      </c>
      <c r="H23" s="5">
        <v>16.520549117813474</v>
      </c>
      <c r="I23" s="23">
        <v>250.79096341744503</v>
      </c>
      <c r="J23" s="5">
        <v>235.28722062252942</v>
      </c>
      <c r="K23" s="5">
        <v>-32.308355762867592</v>
      </c>
      <c r="L23" s="5">
        <v>0.79082733842189068</v>
      </c>
      <c r="M23" s="23">
        <v>474.39458061998891</v>
      </c>
      <c r="N23" s="23">
        <v>150.5</v>
      </c>
      <c r="O23" s="23">
        <v>166.33333333333334</v>
      </c>
      <c r="P23" s="23">
        <v>153.33333333333334</v>
      </c>
      <c r="AK23">
        <f t="shared" si="2"/>
        <v>195.00820550627679</v>
      </c>
      <c r="AL23">
        <f t="shared" si="3"/>
        <v>-30.273822905927627</v>
      </c>
      <c r="AM23">
        <f t="shared" si="1"/>
        <v>1.3801482334833155</v>
      </c>
      <c r="AN23">
        <f t="shared" si="4"/>
        <v>461.38952873399808</v>
      </c>
    </row>
    <row r="24" spans="1:40" x14ac:dyDescent="0.25">
      <c r="A24" s="26"/>
      <c r="B24" s="1" t="s">
        <v>27</v>
      </c>
      <c r="C24" s="4">
        <f>Historical_Data!C13</f>
        <v>157</v>
      </c>
      <c r="D24" s="4">
        <v>23</v>
      </c>
      <c r="E24" s="23">
        <v>217</v>
      </c>
      <c r="F24" s="23">
        <v>165.3142279374635</v>
      </c>
      <c r="G24" s="5">
        <v>230.88265588141559</v>
      </c>
      <c r="H24" s="5">
        <v>1.7440179415303554</v>
      </c>
      <c r="I24" s="23">
        <v>249.35331985176947</v>
      </c>
      <c r="J24" s="5">
        <v>192.1196395067771</v>
      </c>
      <c r="K24" s="5">
        <v>-40.99573604517537</v>
      </c>
      <c r="L24" s="5">
        <v>0.84107317246793878</v>
      </c>
      <c r="M24" s="23">
        <v>214.33343366702189</v>
      </c>
      <c r="N24" s="23">
        <v>154.64285714285714</v>
      </c>
      <c r="O24" s="23">
        <v>172.66666666666666</v>
      </c>
      <c r="P24" s="23">
        <v>147.41666666666666</v>
      </c>
      <c r="AK24">
        <f t="shared" si="2"/>
        <v>158.31372479830475</v>
      </c>
      <c r="AL24">
        <f t="shared" si="3"/>
        <v>-32.842086026745399</v>
      </c>
      <c r="AM24">
        <f t="shared" si="1"/>
        <v>1.0302445015808326</v>
      </c>
      <c r="AN24">
        <f t="shared" si="4"/>
        <v>173.94956805065152</v>
      </c>
    </row>
    <row r="25" spans="1:40" x14ac:dyDescent="0.25">
      <c r="A25" s="26"/>
      <c r="B25" s="1" t="s">
        <v>28</v>
      </c>
      <c r="C25" s="4">
        <f>Historical_Data!C14</f>
        <v>51</v>
      </c>
      <c r="D25" s="4">
        <v>24</v>
      </c>
      <c r="E25" s="23">
        <v>150.33333333333334</v>
      </c>
      <c r="F25" s="23">
        <v>163.65138234997082</v>
      </c>
      <c r="G25" s="5">
        <v>196.30133905835675</v>
      </c>
      <c r="H25" s="5">
        <v>-27.316249870141004</v>
      </c>
      <c r="I25" s="23">
        <v>232.62667382294595</v>
      </c>
      <c r="J25" s="5">
        <v>131.14419852685717</v>
      </c>
      <c r="K25" s="5">
        <v>-56.979499992971029</v>
      </c>
      <c r="L25" s="5">
        <v>0.44955644523163196</v>
      </c>
      <c r="M25" s="23">
        <v>150.4589962810667</v>
      </c>
      <c r="N25" s="23">
        <v>154.14285714285714</v>
      </c>
      <c r="O25" s="23">
        <v>182.5</v>
      </c>
      <c r="P25" s="23">
        <v>148.83333333333334</v>
      </c>
      <c r="AK25">
        <f t="shared" si="2"/>
        <v>95.77313477808714</v>
      </c>
      <c r="AL25">
        <f t="shared" si="3"/>
        <v>-44.721487624134284</v>
      </c>
      <c r="AM25">
        <f t="shared" si="1"/>
        <v>0.81036351601212742</v>
      </c>
      <c r="AN25">
        <f t="shared" si="4"/>
        <v>124.91959510631679</v>
      </c>
    </row>
    <row r="26" spans="1:40" x14ac:dyDescent="0.25">
      <c r="A26" s="26" t="s">
        <v>30</v>
      </c>
      <c r="B26" s="1" t="s">
        <v>14</v>
      </c>
      <c r="C26" s="4">
        <f>Historical_Data!D3</f>
        <v>140</v>
      </c>
      <c r="D26" s="4">
        <v>25</v>
      </c>
      <c r="E26" s="23">
        <v>123</v>
      </c>
      <c r="F26" s="23">
        <v>141.12110587997665</v>
      </c>
      <c r="G26" s="5">
        <v>163.18807135057259</v>
      </c>
      <c r="H26" s="5">
        <v>-31.953864140255533</v>
      </c>
      <c r="I26" s="23">
        <v>168.98508918821574</v>
      </c>
      <c r="J26" s="5">
        <v>152.14009216044224</v>
      </c>
      <c r="K26" s="5">
        <v>5.4008149082738548</v>
      </c>
      <c r="L26" s="5">
        <v>0.85835376975322519</v>
      </c>
      <c r="M26" s="23">
        <v>22.375270456483559</v>
      </c>
      <c r="N26" s="23">
        <v>141.21428571428572</v>
      </c>
      <c r="O26" s="23">
        <v>170.33333333333334</v>
      </c>
      <c r="P26" s="23">
        <v>142.08333333333334</v>
      </c>
      <c r="AK26">
        <f t="shared" si="2"/>
        <v>216.24765495903839</v>
      </c>
      <c r="AL26">
        <f t="shared" si="3"/>
        <v>21.35691549789993</v>
      </c>
      <c r="AM26">
        <f t="shared" si="1"/>
        <v>0.43998057332087692</v>
      </c>
      <c r="AN26">
        <f t="shared" si="4"/>
        <v>15.402131133813556</v>
      </c>
    </row>
    <row r="27" spans="1:40" x14ac:dyDescent="0.25">
      <c r="A27" s="26"/>
      <c r="B27" s="1" t="s">
        <v>18</v>
      </c>
      <c r="C27" s="4">
        <f>Historical_Data!D4</f>
        <v>105</v>
      </c>
      <c r="D27" s="4">
        <v>26</v>
      </c>
      <c r="E27" s="23">
        <v>116</v>
      </c>
      <c r="F27" s="23">
        <v>140.89688470398133</v>
      </c>
      <c r="G27" s="5">
        <v>125.98736576825364</v>
      </c>
      <c r="H27" s="5">
        <v>-36.151337293906266</v>
      </c>
      <c r="I27" s="23">
        <v>131.23420721031704</v>
      </c>
      <c r="J27" s="5">
        <v>146.33637057013564</v>
      </c>
      <c r="K27" s="5">
        <v>-3.5628142905905049</v>
      </c>
      <c r="L27" s="5">
        <v>0.74920217839805048</v>
      </c>
      <c r="M27" s="23">
        <v>162.94409512512473</v>
      </c>
      <c r="N27" s="23">
        <v>141.21428571428572</v>
      </c>
      <c r="O27" s="23">
        <v>166.5</v>
      </c>
      <c r="P27" s="23">
        <v>148.83333333333334</v>
      </c>
      <c r="AK27">
        <f t="shared" si="2"/>
        <v>172.57565053965641</v>
      </c>
      <c r="AL27">
        <f t="shared" si="3"/>
        <v>-4.6546524690128326</v>
      </c>
      <c r="AM27">
        <f t="shared" si="1"/>
        <v>1.0830102533620349</v>
      </c>
      <c r="AN27">
        <f t="shared" si="4"/>
        <v>332.5033305974203</v>
      </c>
    </row>
    <row r="28" spans="1:40" x14ac:dyDescent="0.25">
      <c r="A28" s="26"/>
      <c r="B28" s="1" t="s">
        <v>19</v>
      </c>
      <c r="C28" s="4">
        <f>Historical_Data!D5</f>
        <v>147</v>
      </c>
      <c r="D28" s="4">
        <v>27</v>
      </c>
      <c r="E28" s="23">
        <v>98.666666666666671</v>
      </c>
      <c r="F28" s="23">
        <v>133.71750776318507</v>
      </c>
      <c r="G28" s="5">
        <v>101.2688227794779</v>
      </c>
      <c r="H28" s="5">
        <v>-27.005101849801843</v>
      </c>
      <c r="I28" s="23">
        <v>89.836028474347373</v>
      </c>
      <c r="J28" s="5">
        <v>241.01971619738177</v>
      </c>
      <c r="K28" s="5">
        <v>75.034113643678793</v>
      </c>
      <c r="L28" s="5">
        <v>0.57210370924509002</v>
      </c>
      <c r="M28" s="23">
        <v>33.103420471512784</v>
      </c>
      <c r="N28" s="23">
        <v>139.28571428571428</v>
      </c>
      <c r="O28" s="23">
        <v>124.5</v>
      </c>
      <c r="P28" s="23">
        <v>138.58333333333334</v>
      </c>
      <c r="AK28">
        <f t="shared" si="2"/>
        <v>257.86418835960177</v>
      </c>
      <c r="AL28">
        <f t="shared" si="3"/>
        <v>31.322623646570445</v>
      </c>
      <c r="AM28">
        <f t="shared" si="1"/>
        <v>0.45258078222712483</v>
      </c>
      <c r="AN28">
        <f t="shared" si="4"/>
        <v>62.845489100420046</v>
      </c>
    </row>
    <row r="29" spans="1:40" x14ac:dyDescent="0.25">
      <c r="A29" s="26"/>
      <c r="B29" s="1" t="s">
        <v>20</v>
      </c>
      <c r="C29" s="4">
        <f>Historical_Data!D6</f>
        <v>88</v>
      </c>
      <c r="D29" s="4">
        <v>28</v>
      </c>
      <c r="E29" s="23">
        <v>130.66666666666666</v>
      </c>
      <c r="F29" s="23">
        <v>136.37400621054806</v>
      </c>
      <c r="G29" s="5">
        <v>77.010976743740855</v>
      </c>
      <c r="H29" s="5">
        <v>-24.807297198550007</v>
      </c>
      <c r="I29" s="23">
        <v>74.263720929676055</v>
      </c>
      <c r="J29" s="5">
        <v>283.38608185593034</v>
      </c>
      <c r="K29" s="5">
        <v>48.899915255574619</v>
      </c>
      <c r="L29" s="5">
        <v>0.33710102527515762</v>
      </c>
      <c r="M29" s="23">
        <v>182.12173427929835</v>
      </c>
      <c r="N29" s="23">
        <v>145.57142857142858</v>
      </c>
      <c r="O29" s="23">
        <v>126.83333333333333</v>
      </c>
      <c r="P29" s="23">
        <v>146.58333333333334</v>
      </c>
      <c r="AK29">
        <f t="shared" si="2"/>
        <v>212.66401378729455</v>
      </c>
      <c r="AL29">
        <f t="shared" si="3"/>
        <v>0.71350435901937814</v>
      </c>
      <c r="AM29">
        <f t="shared" si="1"/>
        <v>0.70495636179425347</v>
      </c>
      <c r="AN29">
        <f t="shared" si="4"/>
        <v>259.99680401126142</v>
      </c>
    </row>
    <row r="30" spans="1:40" x14ac:dyDescent="0.25">
      <c r="A30" s="26"/>
      <c r="B30" s="1" t="s">
        <v>21</v>
      </c>
      <c r="C30" s="4">
        <f>Historical_Data!D7</f>
        <v>83</v>
      </c>
      <c r="D30" s="4">
        <v>29</v>
      </c>
      <c r="E30" s="23">
        <v>113.33333333333333</v>
      </c>
      <c r="F30" s="23">
        <v>126.69920496843847</v>
      </c>
      <c r="G30" s="5">
        <v>58.362943636152686</v>
      </c>
      <c r="H30" s="5">
        <v>-19.879885925780538</v>
      </c>
      <c r="I30" s="23">
        <v>52.203679545190852</v>
      </c>
      <c r="J30" s="5">
        <v>303.16848019720328</v>
      </c>
      <c r="K30" s="5">
        <v>25.605901724133272</v>
      </c>
      <c r="L30" s="5">
        <v>0.29085437153971327</v>
      </c>
      <c r="M30" s="23">
        <v>147.72347223009459</v>
      </c>
      <c r="N30" s="23">
        <v>135.57142857142858</v>
      </c>
      <c r="O30" s="23">
        <v>114.66666666666667</v>
      </c>
      <c r="P30" s="23">
        <v>143.66666666666666</v>
      </c>
      <c r="AK30">
        <f t="shared" si="2"/>
        <v>194.43603435514251</v>
      </c>
      <c r="AL30">
        <f t="shared" si="3"/>
        <v>-6.8630891574491901</v>
      </c>
      <c r="AM30">
        <f t="shared" si="1"/>
        <v>0.47070722086963634</v>
      </c>
      <c r="AN30">
        <f t="shared" si="4"/>
        <v>106.67345935617297</v>
      </c>
    </row>
    <row r="31" spans="1:40" x14ac:dyDescent="0.25">
      <c r="A31" s="26"/>
      <c r="B31" s="1" t="s">
        <v>22</v>
      </c>
      <c r="C31" s="4">
        <f>Historical_Data!D8</f>
        <v>77</v>
      </c>
      <c r="D31" s="4">
        <v>30</v>
      </c>
      <c r="E31" s="23">
        <v>106</v>
      </c>
      <c r="F31" s="23">
        <v>117.95936397475077</v>
      </c>
      <c r="G31" s="5">
        <v>46.186446168297721</v>
      </c>
      <c r="H31" s="5">
        <v>-13.717175159440078</v>
      </c>
      <c r="I31" s="23">
        <v>38.483057710372151</v>
      </c>
      <c r="J31" s="5">
        <v>296.94223367950826</v>
      </c>
      <c r="K31" s="5">
        <v>0.14018313067063914</v>
      </c>
      <c r="L31" s="5">
        <v>0.27877601750414344</v>
      </c>
      <c r="M31" s="23">
        <v>149.25466667447557</v>
      </c>
      <c r="N31" s="23">
        <v>137.85714285714286</v>
      </c>
      <c r="O31" s="23">
        <v>102.33333333333333</v>
      </c>
      <c r="P31" s="23">
        <v>142.41666666666666</v>
      </c>
      <c r="AK31">
        <f t="shared" si="2"/>
        <v>206.60963086378285</v>
      </c>
      <c r="AL31">
        <f t="shared" si="3"/>
        <v>0.75158510898662456</v>
      </c>
      <c r="AM31">
        <f t="shared" si="1"/>
        <v>0.3455314900864388</v>
      </c>
      <c r="AN31">
        <f t="shared" si="4"/>
        <v>61.417037829366556</v>
      </c>
    </row>
    <row r="32" spans="1:40" x14ac:dyDescent="0.25">
      <c r="A32" s="26"/>
      <c r="B32" s="1" t="s">
        <v>23</v>
      </c>
      <c r="C32" s="4">
        <f>Historical_Data!D9</f>
        <v>89</v>
      </c>
      <c r="D32" s="4">
        <v>31</v>
      </c>
      <c r="E32" s="23">
        <v>82.666666666666671</v>
      </c>
      <c r="F32" s="23">
        <v>109.76749117980063</v>
      </c>
      <c r="G32" s="5">
        <v>43.775416807086117</v>
      </c>
      <c r="H32" s="5">
        <v>-4.672258520857298</v>
      </c>
      <c r="I32" s="23">
        <v>32.469271008857646</v>
      </c>
      <c r="J32" s="5">
        <v>260.13775608265968</v>
      </c>
      <c r="K32" s="5">
        <v>-29.415545451344741</v>
      </c>
      <c r="L32" s="5">
        <v>0.3871240891307392</v>
      </c>
      <c r="M32" s="23">
        <v>235.31989840017542</v>
      </c>
      <c r="N32" s="23">
        <v>134.57142857142858</v>
      </c>
      <c r="O32" s="23">
        <v>106.66666666666667</v>
      </c>
      <c r="P32" s="23">
        <v>138.5</v>
      </c>
      <c r="AK32">
        <f t="shared" si="2"/>
        <v>148.51926103535936</v>
      </c>
      <c r="AL32">
        <f t="shared" si="3"/>
        <v>-22.785196865977422</v>
      </c>
      <c r="AM32">
        <f t="shared" si="1"/>
        <v>1.1259135162334415</v>
      </c>
      <c r="AN32">
        <f t="shared" si="4"/>
        <v>306.27734283531612</v>
      </c>
    </row>
    <row r="33" spans="1:40" x14ac:dyDescent="0.25">
      <c r="A33" s="26"/>
      <c r="B33" s="1" t="s">
        <v>24</v>
      </c>
      <c r="C33" s="4">
        <f>Historical_Data!D10</f>
        <v>154</v>
      </c>
      <c r="D33" s="4">
        <v>32</v>
      </c>
      <c r="E33" s="23">
        <v>83</v>
      </c>
      <c r="F33" s="23">
        <v>105.6139929438405</v>
      </c>
      <c r="G33" s="5">
        <v>62.082526628983061</v>
      </c>
      <c r="H33" s="5">
        <v>13.711236153346096</v>
      </c>
      <c r="I33" s="23">
        <v>39.103158286228819</v>
      </c>
      <c r="J33" s="5">
        <v>210.28553427105186</v>
      </c>
      <c r="K33" s="5">
        <v>-45.764886539555206</v>
      </c>
      <c r="L33" s="5">
        <v>0.77891198065434186</v>
      </c>
      <c r="M33" s="23">
        <v>276.42402502526863</v>
      </c>
      <c r="N33" s="23">
        <v>133.92857142857142</v>
      </c>
      <c r="O33" s="23">
        <v>98.166666666666671</v>
      </c>
      <c r="P33" s="23">
        <v>132.33333333333334</v>
      </c>
      <c r="AK33">
        <f t="shared" si="2"/>
        <v>144.25848346032001</v>
      </c>
      <c r="AL33">
        <f t="shared" si="3"/>
        <v>-15.375429149602194</v>
      </c>
      <c r="AM33">
        <f t="shared" si="1"/>
        <v>0.96407972154118071</v>
      </c>
      <c r="AN33">
        <f t="shared" si="4"/>
        <v>112.54632934549537</v>
      </c>
    </row>
    <row r="34" spans="1:40" x14ac:dyDescent="0.25">
      <c r="A34" s="26"/>
      <c r="B34" s="1" t="s">
        <v>25</v>
      </c>
      <c r="C34" s="4">
        <f>Historical_Data!D11</f>
        <v>140</v>
      </c>
      <c r="D34" s="4">
        <v>33</v>
      </c>
      <c r="E34" s="23">
        <v>106.66666666666667</v>
      </c>
      <c r="F34" s="23">
        <v>115.29119435507241</v>
      </c>
      <c r="G34" s="5">
        <v>88.635010225863326</v>
      </c>
      <c r="H34" s="5">
        <v>23.984234108173432</v>
      </c>
      <c r="I34" s="23">
        <v>75.793762782329154</v>
      </c>
      <c r="J34" s="5">
        <v>181.67466819270101</v>
      </c>
      <c r="K34" s="5">
        <v>-32.041670170591722</v>
      </c>
      <c r="L34" s="5">
        <v>0.74948238193454764</v>
      </c>
      <c r="M34" s="23">
        <v>92.024538177926729</v>
      </c>
      <c r="N34" s="23">
        <v>136.07142857142858</v>
      </c>
      <c r="O34" s="23">
        <v>106.33333333333333</v>
      </c>
      <c r="P34" s="23">
        <v>115.41666666666667</v>
      </c>
      <c r="AK34">
        <f t="shared" si="2"/>
        <v>136.7896205877517</v>
      </c>
      <c r="AL34">
        <f t="shared" si="3"/>
        <v>-12.212802638788641</v>
      </c>
      <c r="AM34">
        <f t="shared" si="1"/>
        <v>0.97447557329485468</v>
      </c>
      <c r="AN34">
        <f t="shared" si="4"/>
        <v>121.38373317509722</v>
      </c>
    </row>
    <row r="35" spans="1:40" x14ac:dyDescent="0.25">
      <c r="A35" s="26"/>
      <c r="B35" s="1" t="s">
        <v>26</v>
      </c>
      <c r="C35" s="4">
        <f>Historical_Data!D12</f>
        <v>148</v>
      </c>
      <c r="D35" s="4">
        <v>34</v>
      </c>
      <c r="E35" s="23">
        <v>127.66666666666667</v>
      </c>
      <c r="F35" s="23">
        <v>120.23295548405792</v>
      </c>
      <c r="G35" s="5">
        <v>119.69539546722942</v>
      </c>
      <c r="H35" s="5">
        <v>29.64515501472756</v>
      </c>
      <c r="I35" s="23">
        <v>112.61924433403675</v>
      </c>
      <c r="J35" s="5">
        <v>157.13555464674155</v>
      </c>
      <c r="K35" s="5">
        <v>-26.039624870885905</v>
      </c>
      <c r="L35" s="5">
        <v>0.92675848933526384</v>
      </c>
      <c r="M35" s="23">
        <v>118.33386556591272</v>
      </c>
      <c r="N35" s="23">
        <v>134.42857142857142</v>
      </c>
      <c r="O35" s="23">
        <v>105.16666666666667</v>
      </c>
      <c r="P35" s="23">
        <v>116</v>
      </c>
      <c r="AK35">
        <f t="shared" si="2"/>
        <v>117.64003401675413</v>
      </c>
      <c r="AL35">
        <f t="shared" si="3"/>
        <v>-14.987516211672213</v>
      </c>
      <c r="AM35">
        <f t="shared" si="1"/>
        <v>1.3313189883877381</v>
      </c>
      <c r="AN35">
        <f t="shared" si="4"/>
        <v>171.93447522523394</v>
      </c>
    </row>
    <row r="36" spans="1:40" x14ac:dyDescent="0.25">
      <c r="A36" s="26"/>
      <c r="B36" s="1" t="s">
        <v>27</v>
      </c>
      <c r="C36" s="4">
        <f>Historical_Data!D13</f>
        <v>125</v>
      </c>
      <c r="D36" s="4">
        <v>35</v>
      </c>
      <c r="E36" s="23">
        <v>147.33333333333334</v>
      </c>
      <c r="F36" s="23">
        <v>125.78636438724635</v>
      </c>
      <c r="G36" s="5">
        <v>144.47244038556556</v>
      </c>
      <c r="H36" s="5">
        <v>25.750666937614429</v>
      </c>
      <c r="I36" s="23">
        <v>149.34055048195697</v>
      </c>
      <c r="J36" s="5">
        <v>134.60067369784747</v>
      </c>
      <c r="K36" s="5">
        <v>-23.235829733292448</v>
      </c>
      <c r="L36" s="5">
        <v>0.91991294072042362</v>
      </c>
      <c r="M36" s="23">
        <v>110.26126955421302</v>
      </c>
      <c r="N36" s="23">
        <v>119.5</v>
      </c>
      <c r="O36" s="23">
        <v>115.16666666666667</v>
      </c>
      <c r="P36" s="23">
        <v>114.91666666666667</v>
      </c>
      <c r="AK36">
        <f t="shared" si="2"/>
        <v>110.12367942870007</v>
      </c>
      <c r="AL36">
        <f t="shared" si="3"/>
        <v>-11.999051562224949</v>
      </c>
      <c r="AM36">
        <f t="shared" si="1"/>
        <v>1.0721816574573098</v>
      </c>
      <c r="AN36">
        <f t="shared" si="4"/>
        <v>105.75719204211416</v>
      </c>
    </row>
    <row r="37" spans="1:40" x14ac:dyDescent="0.25">
      <c r="A37" s="26"/>
      <c r="B37" s="1" t="s">
        <v>28</v>
      </c>
      <c r="C37" s="4">
        <f>Historical_Data!D14</f>
        <v>83</v>
      </c>
      <c r="D37" s="4">
        <v>36</v>
      </c>
      <c r="E37" s="23">
        <v>137.66666666666666</v>
      </c>
      <c r="F37" s="23">
        <v>125.62909150979709</v>
      </c>
      <c r="G37" s="5">
        <v>152.778485858544</v>
      </c>
      <c r="H37" s="5">
        <v>11.794969765905638</v>
      </c>
      <c r="I37" s="23">
        <v>170.22310732317999</v>
      </c>
      <c r="J37" s="5">
        <v>126.01716047468739</v>
      </c>
      <c r="K37" s="5">
        <v>-11.513976525186555</v>
      </c>
      <c r="L37" s="5">
        <v>0.63773205464553473</v>
      </c>
      <c r="M37" s="23">
        <v>50.064783376480719</v>
      </c>
      <c r="N37" s="23">
        <v>118.92857142857143</v>
      </c>
      <c r="O37" s="23">
        <v>122.16666666666667</v>
      </c>
      <c r="P37" s="23">
        <v>112.25</v>
      </c>
      <c r="AK37">
        <f t="shared" si="2"/>
        <v>99.84404463976901</v>
      </c>
      <c r="AL37">
        <f t="shared" si="3"/>
        <v>-11.311284852907395</v>
      </c>
      <c r="AM37">
        <f t="shared" si="1"/>
        <v>0.81873669015740835</v>
      </c>
      <c r="AN37">
        <f t="shared" si="4"/>
        <v>79.516618445258359</v>
      </c>
    </row>
    <row r="38" spans="1:40" x14ac:dyDescent="0.25">
      <c r="A38" s="26" t="s">
        <v>31</v>
      </c>
      <c r="B38" s="1" t="s">
        <v>14</v>
      </c>
      <c r="C38" s="4">
        <f>Historical_Data!E3</f>
        <v>238</v>
      </c>
      <c r="D38" s="4">
        <v>37</v>
      </c>
      <c r="E38" s="23">
        <v>118.66666666666667</v>
      </c>
      <c r="F38" s="23">
        <v>117.10327320783767</v>
      </c>
      <c r="G38" s="5">
        <v>179.25876449955973</v>
      </c>
      <c r="H38" s="5">
        <v>23.543216865993713</v>
      </c>
      <c r="I38" s="23">
        <v>164.57345562444965</v>
      </c>
      <c r="J38" s="5">
        <v>147.05753748798813</v>
      </c>
      <c r="K38" s="5">
        <v>14.529506305603284</v>
      </c>
      <c r="L38" s="5">
        <v>1.5424081148228888</v>
      </c>
      <c r="M38" s="23">
        <v>98.284239591801025</v>
      </c>
      <c r="N38" s="23">
        <v>113.35714285714286</v>
      </c>
      <c r="O38" s="23">
        <v>123.16666666666667</v>
      </c>
      <c r="P38" s="23">
        <v>114.91666666666667</v>
      </c>
      <c r="AK38">
        <f t="shared" si="2"/>
        <v>269.49284544603671</v>
      </c>
      <c r="AL38">
        <f t="shared" si="3"/>
        <v>61.07274941076264</v>
      </c>
      <c r="AM38">
        <f t="shared" si="1"/>
        <v>0.61724447530998205</v>
      </c>
      <c r="AN38">
        <f t="shared" si="4"/>
        <v>38.952694408702854</v>
      </c>
    </row>
    <row r="39" spans="1:40" x14ac:dyDescent="0.25">
      <c r="A39" s="26"/>
      <c r="B39" s="1" t="s">
        <v>18</v>
      </c>
      <c r="C39" s="4">
        <f>Historical_Data!E4</f>
        <v>136</v>
      </c>
      <c r="D39" s="4">
        <v>38</v>
      </c>
      <c r="E39" s="23">
        <v>148.66666666666666</v>
      </c>
      <c r="F39" s="23">
        <v>141.28261856627014</v>
      </c>
      <c r="G39" s="5">
        <v>189.44158509244278</v>
      </c>
      <c r="H39" s="5">
        <v>12.85489984750518</v>
      </c>
      <c r="I39" s="23">
        <v>202.80198136555344</v>
      </c>
      <c r="J39" s="5">
        <v>165.57492189103158</v>
      </c>
      <c r="K39" s="5">
        <v>17.719808783555418</v>
      </c>
      <c r="L39" s="5">
        <v>0.81416260190418699</v>
      </c>
      <c r="M39" s="23">
        <v>121.06136521105988</v>
      </c>
      <c r="N39" s="23">
        <v>119.14285714285714</v>
      </c>
      <c r="O39" s="23">
        <v>148</v>
      </c>
      <c r="P39" s="23">
        <v>123.08333333333333</v>
      </c>
      <c r="AK39">
        <f t="shared" si="2"/>
        <v>248.56972161388165</v>
      </c>
      <c r="AL39">
        <f t="shared" si="3"/>
        <v>28.274400113595561</v>
      </c>
      <c r="AM39">
        <f t="shared" si="1"/>
        <v>0.86865822960253036</v>
      </c>
      <c r="AN39">
        <f t="shared" si="4"/>
        <v>358.00592863863403</v>
      </c>
    </row>
    <row r="40" spans="1:40" x14ac:dyDescent="0.25">
      <c r="A40" s="26"/>
      <c r="B40" s="1" t="s">
        <v>19</v>
      </c>
      <c r="C40" s="4">
        <f>Historical_Data!E5</f>
        <v>42</v>
      </c>
      <c r="D40" s="4">
        <v>39</v>
      </c>
      <c r="E40" s="23">
        <v>152.33333333333334</v>
      </c>
      <c r="F40" s="23">
        <v>140.22609485301612</v>
      </c>
      <c r="G40" s="5">
        <v>170.23718795195839</v>
      </c>
      <c r="H40" s="5">
        <v>-12.792537742886477</v>
      </c>
      <c r="I40" s="23">
        <v>202.29648493994796</v>
      </c>
      <c r="J40" s="5">
        <v>161.31843711516868</v>
      </c>
      <c r="K40" s="5">
        <v>0.13877393602076182</v>
      </c>
      <c r="L40" s="5">
        <v>0.29152952672573818</v>
      </c>
      <c r="M40" s="23">
        <v>104.863595304011</v>
      </c>
      <c r="N40" s="23">
        <v>125.21428571428571</v>
      </c>
      <c r="O40" s="23">
        <v>145</v>
      </c>
      <c r="P40" s="23">
        <v>125.66666666666667</v>
      </c>
      <c r="AK40">
        <f t="shared" si="2"/>
        <v>203.22691795977303</v>
      </c>
      <c r="AL40">
        <f t="shared" si="3"/>
        <v>-1.1724813934861125</v>
      </c>
      <c r="AM40">
        <f t="shared" si="1"/>
        <v>0.35421468387447608</v>
      </c>
      <c r="AN40">
        <f t="shared" si="4"/>
        <v>125.294329166403</v>
      </c>
    </row>
    <row r="41" spans="1:40" x14ac:dyDescent="0.25">
      <c r="A41" s="26"/>
      <c r="B41" s="1" t="s">
        <v>20</v>
      </c>
      <c r="C41" s="4">
        <f>Historical_Data!E6</f>
        <v>70</v>
      </c>
      <c r="D41" s="4">
        <v>40</v>
      </c>
      <c r="E41" s="23">
        <v>138.66666666666666</v>
      </c>
      <c r="F41" s="23">
        <v>120.58087588241291</v>
      </c>
      <c r="G41" s="5">
        <v>139.95572016725754</v>
      </c>
      <c r="H41" s="5">
        <v>-26.783681776337978</v>
      </c>
      <c r="I41" s="23">
        <v>157.44465020907191</v>
      </c>
      <c r="J41" s="5">
        <v>170.69634558296102</v>
      </c>
      <c r="K41" s="5">
        <v>7.5300815614380232</v>
      </c>
      <c r="L41" s="5">
        <v>0.40278654517098789</v>
      </c>
      <c r="M41" s="23">
        <v>54.427391383423469</v>
      </c>
      <c r="N41" s="23">
        <v>118.21428571428571</v>
      </c>
      <c r="O41" s="23">
        <v>128.66666666666666</v>
      </c>
      <c r="P41" s="23">
        <v>116.91666666666667</v>
      </c>
      <c r="AK41">
        <f t="shared" si="2"/>
        <v>160.95143251549183</v>
      </c>
      <c r="AL41">
        <f t="shared" si="3"/>
        <v>-17.613683013804149</v>
      </c>
      <c r="AM41">
        <f t="shared" si="1"/>
        <v>0.59693933923681586</v>
      </c>
      <c r="AN41">
        <f t="shared" si="4"/>
        <v>142.4395604861574</v>
      </c>
    </row>
    <row r="42" spans="1:40" x14ac:dyDescent="0.25">
      <c r="A42" s="26"/>
      <c r="B42" s="1" t="s">
        <v>21</v>
      </c>
      <c r="C42" s="4">
        <f>Historical_Data!E7</f>
        <v>64</v>
      </c>
      <c r="D42" s="4">
        <v>41</v>
      </c>
      <c r="E42" s="23">
        <v>82.666666666666671</v>
      </c>
      <c r="F42" s="23">
        <v>110.46470070593034</v>
      </c>
      <c r="G42" s="5">
        <v>103.33763071273566</v>
      </c>
      <c r="H42" s="5">
        <v>-34.651207918885099</v>
      </c>
      <c r="I42" s="23">
        <v>113.17203839091957</v>
      </c>
      <c r="J42" s="5">
        <v>186.58941957718545</v>
      </c>
      <c r="K42" s="5">
        <v>14.220475507667155</v>
      </c>
      <c r="L42" s="5">
        <v>0.3377846127584751</v>
      </c>
      <c r="M42" s="23">
        <v>51.837935458852677</v>
      </c>
      <c r="N42" s="23">
        <v>115.71428571428571</v>
      </c>
      <c r="O42" s="23">
        <v>115.66666666666667</v>
      </c>
      <c r="P42" s="23">
        <v>115.41666666666667</v>
      </c>
      <c r="AK42">
        <f t="shared" si="2"/>
        <v>140.38889844540989</v>
      </c>
      <c r="AL42">
        <f t="shared" si="3"/>
        <v>-18.793223436315266</v>
      </c>
      <c r="AM42">
        <f t="shared" si="1"/>
        <v>0.46477493348439664</v>
      </c>
      <c r="AN42">
        <f t="shared" si="4"/>
        <v>67.470113713647507</v>
      </c>
    </row>
    <row r="43" spans="1:40" x14ac:dyDescent="0.25">
      <c r="A43" s="26"/>
      <c r="B43" s="1" t="s">
        <v>22</v>
      </c>
      <c r="C43" s="4">
        <f>Historical_Data!E8</f>
        <v>66</v>
      </c>
      <c r="D43" s="4">
        <v>42</v>
      </c>
      <c r="E43" s="23">
        <v>58.666666666666664</v>
      </c>
      <c r="F43" s="23">
        <v>101.17176056474428</v>
      </c>
      <c r="G43" s="5">
        <v>68.149138235080457</v>
      </c>
      <c r="H43" s="5">
        <v>-35.081035565901182</v>
      </c>
      <c r="I43" s="23">
        <v>68.686422793850568</v>
      </c>
      <c r="J43" s="5">
        <v>207.99775669685158</v>
      </c>
      <c r="K43" s="5">
        <v>19.970764797266334</v>
      </c>
      <c r="L43" s="5">
        <v>0.31345760483945306</v>
      </c>
      <c r="M43" s="23">
        <v>55.980982827180078</v>
      </c>
      <c r="N43" s="23">
        <v>109.78571428571429</v>
      </c>
      <c r="O43" s="23">
        <v>105.5</v>
      </c>
      <c r="P43" s="23">
        <v>113.83333333333333</v>
      </c>
      <c r="AK43">
        <f t="shared" si="2"/>
        <v>149.36143982554142</v>
      </c>
      <c r="AL43">
        <f t="shared" si="3"/>
        <v>-7.6869175097365474</v>
      </c>
      <c r="AM43">
        <f t="shared" si="1"/>
        <v>0.38407134120847863</v>
      </c>
      <c r="AN43">
        <f t="shared" si="4"/>
        <v>42.015134773958813</v>
      </c>
    </row>
    <row r="44" spans="1:40" x14ac:dyDescent="0.25">
      <c r="A44" s="26"/>
      <c r="B44" s="1" t="s">
        <v>23</v>
      </c>
      <c r="C44" s="4">
        <f>Historical_Data!E9</f>
        <v>215</v>
      </c>
      <c r="D44" s="4">
        <v>43</v>
      </c>
      <c r="E44" s="23">
        <v>66.666666666666671</v>
      </c>
      <c r="F44" s="23">
        <v>94.137408451795423</v>
      </c>
      <c r="G44" s="5">
        <v>69.454482135343426</v>
      </c>
      <c r="H44" s="5">
        <v>-5.9719319929698598</v>
      </c>
      <c r="I44" s="23">
        <v>33.068102669179275</v>
      </c>
      <c r="J44" s="5">
        <v>293.45031264315855</v>
      </c>
      <c r="K44" s="5">
        <v>72.356197716498841</v>
      </c>
      <c r="L44" s="5">
        <v>0.6981085371949336</v>
      </c>
      <c r="M44" s="23">
        <v>88.252106233891737</v>
      </c>
      <c r="N44" s="23">
        <v>108.21428571428571</v>
      </c>
      <c r="O44" s="23">
        <v>102.66666666666667</v>
      </c>
      <c r="P44" s="23">
        <v>112.91666666666667</v>
      </c>
      <c r="AK44">
        <f t="shared" si="2"/>
        <v>161.38713420604694</v>
      </c>
      <c r="AL44">
        <f t="shared" si="3"/>
        <v>0.19812724636027745</v>
      </c>
      <c r="AM44">
        <f t="shared" si="1"/>
        <v>1.2084282579816321</v>
      </c>
      <c r="AN44">
        <f t="shared" si="4"/>
        <v>159.51325958128103</v>
      </c>
    </row>
    <row r="45" spans="1:40" x14ac:dyDescent="0.25">
      <c r="A45" s="26"/>
      <c r="B45" s="1" t="s">
        <v>24</v>
      </c>
      <c r="C45" s="4">
        <f>Historical_Data!E10</f>
        <v>242</v>
      </c>
      <c r="D45" s="4">
        <v>44</v>
      </c>
      <c r="E45" s="23">
        <v>115</v>
      </c>
      <c r="F45" s="23">
        <v>118.30992676143634</v>
      </c>
      <c r="G45" s="5">
        <v>99.186040113898855</v>
      </c>
      <c r="H45" s="5">
        <v>22.590859984250372</v>
      </c>
      <c r="I45" s="23">
        <v>63.482550142373569</v>
      </c>
      <c r="J45" s="5">
        <v>354.78316636527478</v>
      </c>
      <c r="K45" s="5">
        <v>63.537522520992752</v>
      </c>
      <c r="L45" s="5">
        <v>0.691787291928465</v>
      </c>
      <c r="M45" s="23">
        <v>284.93107352049378</v>
      </c>
      <c r="N45" s="23">
        <v>117.64285714285714</v>
      </c>
      <c r="O45" s="23">
        <v>98.833333333333329</v>
      </c>
      <c r="P45" s="23">
        <v>123.41666666666667</v>
      </c>
      <c r="AK45">
        <f t="shared" si="2"/>
        <v>197.35779113324088</v>
      </c>
      <c r="AL45">
        <f t="shared" si="3"/>
        <v>14.507139118693745</v>
      </c>
      <c r="AM45">
        <f t="shared" si="1"/>
        <v>1.0689275826430666</v>
      </c>
      <c r="AN45">
        <f t="shared" si="4"/>
        <v>155.78107386619564</v>
      </c>
    </row>
    <row r="46" spans="1:40" x14ac:dyDescent="0.25">
      <c r="A46" s="26"/>
      <c r="B46" s="1" t="s">
        <v>25</v>
      </c>
      <c r="C46" s="4">
        <f>Historical_Data!E11</f>
        <v>209</v>
      </c>
      <c r="D46" s="4">
        <v>45</v>
      </c>
      <c r="E46" s="23">
        <v>174.33333333333334</v>
      </c>
      <c r="F46" s="23">
        <v>143.04794140914908</v>
      </c>
      <c r="G46" s="5">
        <v>139.2215200785194</v>
      </c>
      <c r="H46" s="5">
        <v>36.546555968546514</v>
      </c>
      <c r="I46" s="23">
        <v>121.77690009814923</v>
      </c>
      <c r="J46" s="5">
        <v>390.42837578100534</v>
      </c>
      <c r="K46" s="5">
        <v>41.223672036783</v>
      </c>
      <c r="L46" s="5">
        <v>0.55672674525951626</v>
      </c>
      <c r="M46" s="23">
        <v>313.52398631898063</v>
      </c>
      <c r="N46" s="23">
        <v>129.42857142857142</v>
      </c>
      <c r="O46" s="23">
        <v>116.5</v>
      </c>
      <c r="P46" s="23">
        <v>130.75</v>
      </c>
      <c r="AK46">
        <f t="shared" si="2"/>
        <v>212.90869192287073</v>
      </c>
      <c r="AL46">
        <f t="shared" si="3"/>
        <v>14.924643787068188</v>
      </c>
      <c r="AM46">
        <f t="shared" si="1"/>
        <v>0.97734192950647547</v>
      </c>
      <c r="AN46">
        <f t="shared" si="4"/>
        <v>206.45719936832839</v>
      </c>
    </row>
    <row r="47" spans="1:40" x14ac:dyDescent="0.25">
      <c r="A47" s="26"/>
      <c r="B47" s="1" t="s">
        <v>26</v>
      </c>
      <c r="C47" s="4">
        <f>Historical_Data!E12</f>
        <v>106</v>
      </c>
      <c r="D47" s="4">
        <v>46</v>
      </c>
      <c r="E47" s="23">
        <v>222</v>
      </c>
      <c r="F47" s="23">
        <v>156.23835312731927</v>
      </c>
      <c r="G47" s="5">
        <v>161.81446083765275</v>
      </c>
      <c r="H47" s="5">
        <v>25.383663801015977</v>
      </c>
      <c r="I47" s="23">
        <v>175.7680760470659</v>
      </c>
      <c r="J47" s="5">
        <v>368.19706938754155</v>
      </c>
      <c r="K47" s="5">
        <v>-9.5403107074144398</v>
      </c>
      <c r="L47" s="5">
        <v>0.35177622732243702</v>
      </c>
      <c r="M47" s="23">
        <v>400.0371997540866</v>
      </c>
      <c r="N47" s="23">
        <v>138</v>
      </c>
      <c r="O47" s="23">
        <v>144.33333333333334</v>
      </c>
      <c r="P47" s="23">
        <v>136.5</v>
      </c>
      <c r="AK47">
        <f t="shared" si="2"/>
        <v>168.54811624279435</v>
      </c>
      <c r="AL47">
        <f t="shared" si="3"/>
        <v>-8.7894439997896399</v>
      </c>
      <c r="AM47">
        <f t="shared" si="1"/>
        <v>1.0503516058974522</v>
      </c>
      <c r="AN47">
        <f t="shared" si="4"/>
        <v>303.31884601835981</v>
      </c>
    </row>
    <row r="48" spans="1:40" x14ac:dyDescent="0.25">
      <c r="A48" s="26"/>
      <c r="B48" s="1" t="s">
        <v>27</v>
      </c>
      <c r="C48" s="4">
        <f>Historical_Data!E13</f>
        <v>166</v>
      </c>
      <c r="D48" s="4">
        <v>47</v>
      </c>
      <c r="E48" s="23">
        <v>185.66666666666666</v>
      </c>
      <c r="F48" s="23">
        <v>146.19068250185541</v>
      </c>
      <c r="G48" s="5">
        <v>182.95849971093497</v>
      </c>
      <c r="H48" s="5">
        <v>21.991963858828974</v>
      </c>
      <c r="I48" s="23">
        <v>187.19812463866873</v>
      </c>
      <c r="J48" s="5">
        <v>323.01577868514886</v>
      </c>
      <c r="K48" s="5">
        <v>-38.053094703397036</v>
      </c>
      <c r="L48" s="5">
        <v>0.55450739965716211</v>
      </c>
      <c r="M48" s="23">
        <v>329.93299358669105</v>
      </c>
      <c r="N48" s="23">
        <v>134.57142857142858</v>
      </c>
      <c r="O48" s="23">
        <v>150.33333333333334</v>
      </c>
      <c r="P48" s="23">
        <v>133</v>
      </c>
      <c r="AK48">
        <f t="shared" si="2"/>
        <v>157.78500744025854</v>
      </c>
      <c r="AL48">
        <f t="shared" si="3"/>
        <v>-9.5789099208881083</v>
      </c>
      <c r="AM48">
        <f t="shared" si="1"/>
        <v>1.0641347818999798</v>
      </c>
      <c r="AN48">
        <f t="shared" si="4"/>
        <v>171.29031799868389</v>
      </c>
    </row>
    <row r="49" spans="1:40" x14ac:dyDescent="0.25">
      <c r="A49" s="26"/>
      <c r="B49" s="1" t="s">
        <v>28</v>
      </c>
      <c r="C49" s="4">
        <f>Historical_Data!E14</f>
        <v>97</v>
      </c>
      <c r="D49" s="4">
        <v>48</v>
      </c>
      <c r="E49" s="23">
        <v>160.33333333333334</v>
      </c>
      <c r="F49" s="23">
        <v>150.15254600148432</v>
      </c>
      <c r="G49" s="5">
        <v>183.36037085581117</v>
      </c>
      <c r="H49" s="5">
        <v>4.7198896876667504</v>
      </c>
      <c r="I49" s="23">
        <v>204.95046356976394</v>
      </c>
      <c r="J49" s="5">
        <v>258.39044652378573</v>
      </c>
      <c r="K49" s="5">
        <v>-59.310884669769919</v>
      </c>
      <c r="L49" s="5">
        <v>0.40163399395142091</v>
      </c>
      <c r="M49" s="23">
        <v>181.72983795298879</v>
      </c>
      <c r="N49" s="23">
        <v>136.42857142857142</v>
      </c>
      <c r="O49" s="23">
        <v>167.33333333333334</v>
      </c>
      <c r="P49" s="23">
        <v>136.41666666666666</v>
      </c>
      <c r="AK49">
        <f t="shared" si="2"/>
        <v>136.3137418759581</v>
      </c>
      <c r="AL49">
        <f t="shared" si="3"/>
        <v>-14.335852178253042</v>
      </c>
      <c r="AM49">
        <f t="shared" si="1"/>
        <v>0.77587949426359026</v>
      </c>
      <c r="AN49">
        <f t="shared" si="4"/>
        <v>121.34176974415543</v>
      </c>
    </row>
    <row r="50" spans="1:40" x14ac:dyDescent="0.25">
      <c r="A50" s="26" t="s">
        <v>32</v>
      </c>
      <c r="B50" s="1" t="s">
        <v>14</v>
      </c>
      <c r="C50" s="4">
        <f>Historical_Data!F3</f>
        <v>96</v>
      </c>
      <c r="D50" s="4">
        <v>49</v>
      </c>
      <c r="E50" s="23">
        <v>123</v>
      </c>
      <c r="F50" s="23">
        <v>139.52203680118745</v>
      </c>
      <c r="G50" s="5">
        <v>169.66420843478232</v>
      </c>
      <c r="H50" s="5">
        <v>-10.012951999289726</v>
      </c>
      <c r="I50" s="23">
        <v>188.08026054347792</v>
      </c>
      <c r="J50" s="5">
        <v>171.71171677194366</v>
      </c>
      <c r="K50" s="5">
        <v>-81.20516073542764</v>
      </c>
      <c r="L50" s="5">
        <v>0.65740973684310666</v>
      </c>
      <c r="M50" s="23">
        <v>307.06193169901923</v>
      </c>
      <c r="N50" s="23">
        <v>132.78571428571428</v>
      </c>
      <c r="O50" s="23">
        <v>172.5</v>
      </c>
      <c r="P50" s="23">
        <v>137.58333333333334</v>
      </c>
      <c r="AK50">
        <f t="shared" si="2"/>
        <v>135.39871227451022</v>
      </c>
      <c r="AL50">
        <f t="shared" si="3"/>
        <v>-8.9675231475309776</v>
      </c>
      <c r="AM50">
        <f t="shared" si="1"/>
        <v>0.65395351833036242</v>
      </c>
      <c r="AN50">
        <f t="shared" si="4"/>
        <v>75.290178525878815</v>
      </c>
    </row>
    <row r="51" spans="1:40" x14ac:dyDescent="0.25">
      <c r="A51" s="26"/>
      <c r="B51" s="1" t="s">
        <v>18</v>
      </c>
      <c r="C51" s="4">
        <f>Historical_Data!F4</f>
        <v>129</v>
      </c>
      <c r="D51" s="4">
        <v>50</v>
      </c>
      <c r="E51" s="23">
        <v>119.66666666666667</v>
      </c>
      <c r="F51" s="23">
        <v>130.81762944094999</v>
      </c>
      <c r="G51" s="5">
        <v>153.5210051483941</v>
      </c>
      <c r="H51" s="5">
        <v>-14.917153028968528</v>
      </c>
      <c r="I51" s="23">
        <v>159.6512564354926</v>
      </c>
      <c r="J51" s="5">
        <v>104.09424643608867</v>
      </c>
      <c r="K51" s="5">
        <v>-70.335008415769522</v>
      </c>
      <c r="L51" s="5">
        <v>1.1967516795335289</v>
      </c>
      <c r="M51" s="23">
        <v>73.687053152076984</v>
      </c>
      <c r="N51" s="23">
        <v>130.71428571428572</v>
      </c>
      <c r="O51" s="23">
        <v>152.66666666666666</v>
      </c>
      <c r="P51" s="23">
        <v>125.75</v>
      </c>
      <c r="AK51">
        <f t="shared" si="2"/>
        <v>135.26067185469788</v>
      </c>
      <c r="AL51">
        <f t="shared" si="3"/>
        <v>-5.4357300564435231</v>
      </c>
      <c r="AM51">
        <f t="shared" si="1"/>
        <v>0.90268054841581591</v>
      </c>
      <c r="AN51">
        <f t="shared" si="4"/>
        <v>109.82549291358447</v>
      </c>
    </row>
    <row r="52" spans="1:40" x14ac:dyDescent="0.25">
      <c r="A52" s="26"/>
      <c r="B52" s="1" t="s">
        <v>19</v>
      </c>
      <c r="C52" s="4">
        <f>Historical_Data!F5</f>
        <v>71</v>
      </c>
      <c r="D52" s="4">
        <v>51</v>
      </c>
      <c r="E52" s="23">
        <v>107.33333333333333</v>
      </c>
      <c r="F52" s="23">
        <v>130.45410355275999</v>
      </c>
      <c r="G52" s="5">
        <v>125.08308169554046</v>
      </c>
      <c r="H52" s="5">
        <v>-25.733769368076615</v>
      </c>
      <c r="I52" s="23">
        <v>138.60385211942557</v>
      </c>
      <c r="J52" s="5">
        <v>75.716007205383903</v>
      </c>
      <c r="K52" s="5">
        <v>-36.769593067717715</v>
      </c>
      <c r="L52" s="5">
        <v>0.87309602836418654</v>
      </c>
      <c r="M52" s="23">
        <v>9.841814682685186</v>
      </c>
      <c r="N52" s="23">
        <v>134</v>
      </c>
      <c r="O52" s="23">
        <v>133.83333333333334</v>
      </c>
      <c r="P52" s="23">
        <v>125.16666666666667</v>
      </c>
      <c r="AK52">
        <f t="shared" si="2"/>
        <v>158.07233008639588</v>
      </c>
      <c r="AL52">
        <f t="shared" si="3"/>
        <v>5.8632252588130882</v>
      </c>
      <c r="AM52">
        <f t="shared" si="1"/>
        <v>0.39219339795034869</v>
      </c>
      <c r="AN52">
        <f t="shared" si="4"/>
        <v>45.985900718090917</v>
      </c>
    </row>
    <row r="53" spans="1:40" x14ac:dyDescent="0.25">
      <c r="A53" s="26"/>
      <c r="B53" s="1" t="s">
        <v>20</v>
      </c>
      <c r="C53" s="4">
        <f>Historical_Data!F6</f>
        <v>99</v>
      </c>
      <c r="D53" s="4">
        <v>52</v>
      </c>
      <c r="E53" s="23">
        <v>98.666666666666671</v>
      </c>
      <c r="F53" s="23">
        <v>118.563282842208</v>
      </c>
      <c r="G53" s="5">
        <v>99.279449861971088</v>
      </c>
      <c r="H53" s="5">
        <v>-25.789659340470816</v>
      </c>
      <c r="I53" s="23">
        <v>99.349312327463849</v>
      </c>
      <c r="J53" s="5">
        <v>80.314681971599697</v>
      </c>
      <c r="K53" s="5">
        <v>-3.6749788005709063</v>
      </c>
      <c r="L53" s="5">
        <v>1.1496648565505814</v>
      </c>
      <c r="M53" s="23">
        <v>15.687091597309083</v>
      </c>
      <c r="N53" s="23">
        <v>122.07142857142857</v>
      </c>
      <c r="O53" s="23">
        <v>110.83333333333333</v>
      </c>
      <c r="P53" s="23">
        <v>127.58333333333333</v>
      </c>
      <c r="AK53">
        <f t="shared" si="2"/>
        <v>164.69973209808876</v>
      </c>
      <c r="AL53">
        <f t="shared" si="3"/>
        <v>6.1688959599650044</v>
      </c>
      <c r="AM53">
        <f t="shared" si="1"/>
        <v>0.59860115310905404</v>
      </c>
      <c r="AN53">
        <f t="shared" si="4"/>
        <v>97.859582085189501</v>
      </c>
    </row>
    <row r="54" spans="1:40" x14ac:dyDescent="0.25">
      <c r="A54" s="26"/>
      <c r="B54" s="1" t="s">
        <v>21</v>
      </c>
      <c r="C54" s="4">
        <f>Historical_Data!F7</f>
        <v>98</v>
      </c>
      <c r="D54" s="4">
        <v>53</v>
      </c>
      <c r="E54" s="23">
        <v>99.666666666666671</v>
      </c>
      <c r="F54" s="23">
        <v>114.65062627376641</v>
      </c>
      <c r="G54" s="5">
        <v>78.39183241720022</v>
      </c>
      <c r="H54" s="5">
        <v>-21.868025823910859</v>
      </c>
      <c r="I54" s="23">
        <v>73.489790521500268</v>
      </c>
      <c r="J54" s="5">
        <v>119.33690417941915</v>
      </c>
      <c r="K54" s="5">
        <v>30.482782006141385</v>
      </c>
      <c r="L54" s="5">
        <v>0.77286249070059421</v>
      </c>
      <c r="M54" s="23">
        <v>25.887712457550435</v>
      </c>
      <c r="N54" s="23">
        <v>119.42857142857143</v>
      </c>
      <c r="O54" s="23">
        <v>109.66666666666667</v>
      </c>
      <c r="P54" s="23">
        <v>130</v>
      </c>
      <c r="AK54">
        <f t="shared" si="2"/>
        <v>186.86307476405011</v>
      </c>
      <c r="AL54">
        <f t="shared" si="3"/>
        <v>12.566674642363543</v>
      </c>
      <c r="AM54">
        <f t="shared" si="1"/>
        <v>0.48864423322684963</v>
      </c>
      <c r="AN54">
        <f t="shared" si="4"/>
        <v>79.415455240252044</v>
      </c>
    </row>
    <row r="55" spans="1:40" x14ac:dyDescent="0.25">
      <c r="A55" s="26"/>
      <c r="B55" s="1" t="s">
        <v>22</v>
      </c>
      <c r="C55" s="4">
        <f>Historical_Data!F8</f>
        <v>139</v>
      </c>
      <c r="D55" s="4">
        <v>54</v>
      </c>
      <c r="E55" s="23">
        <v>89.333333333333329</v>
      </c>
      <c r="F55" s="23">
        <v>111.32050101901314</v>
      </c>
      <c r="G55" s="5">
        <v>73.019045274631495</v>
      </c>
      <c r="H55" s="5">
        <v>-8.6718348788371511</v>
      </c>
      <c r="I55" s="23">
        <v>56.523806593289365</v>
      </c>
      <c r="J55" s="5">
        <v>208.54397845954492</v>
      </c>
      <c r="K55" s="5">
        <v>77.462215825328883</v>
      </c>
      <c r="L55" s="5">
        <v>0.6312192304545392</v>
      </c>
      <c r="M55" s="23">
        <v>46.962119989524297</v>
      </c>
      <c r="N55" s="23">
        <v>123.42857142857143</v>
      </c>
      <c r="O55" s="23">
        <v>98.333333333333329</v>
      </c>
      <c r="P55" s="23">
        <v>132.83333333333334</v>
      </c>
      <c r="AK55">
        <f t="shared" si="2"/>
        <v>264.42262127469905</v>
      </c>
      <c r="AL55">
        <f t="shared" si="3"/>
        <v>38.563823389677701</v>
      </c>
      <c r="AM55">
        <f t="shared" si="1"/>
        <v>0.44071225796615154</v>
      </c>
      <c r="AN55">
        <f t="shared" si="4"/>
        <v>76.595251331392092</v>
      </c>
    </row>
    <row r="56" spans="1:40" x14ac:dyDescent="0.25">
      <c r="A56" s="26"/>
      <c r="B56" s="1" t="s">
        <v>23</v>
      </c>
      <c r="C56" s="4">
        <f>Historical_Data!F9</f>
        <v>90</v>
      </c>
      <c r="D56" s="4">
        <v>55</v>
      </c>
      <c r="E56" s="23">
        <v>112</v>
      </c>
      <c r="F56" s="23">
        <v>116.85640081521051</v>
      </c>
      <c r="G56" s="5">
        <v>69.47776831663549</v>
      </c>
      <c r="H56" s="5">
        <v>-4.5673885421642337</v>
      </c>
      <c r="I56" s="23">
        <v>64.347210395794349</v>
      </c>
      <c r="J56" s="5">
        <v>254.58891170542248</v>
      </c>
      <c r="K56" s="5">
        <v>52.328389761767824</v>
      </c>
      <c r="L56" s="5">
        <v>0.38797082171418268</v>
      </c>
      <c r="M56" s="23">
        <v>199.66336592090323</v>
      </c>
      <c r="N56" s="23">
        <v>128.35714285714286</v>
      </c>
      <c r="O56" s="23">
        <v>105.33333333333333</v>
      </c>
      <c r="P56" s="23">
        <v>138.91666666666666</v>
      </c>
      <c r="AK56">
        <f t="shared" si="2"/>
        <v>211.58262993431168</v>
      </c>
      <c r="AL56">
        <f t="shared" si="3"/>
        <v>2.0022974976516714</v>
      </c>
      <c r="AM56">
        <f t="shared" si="1"/>
        <v>0.89520324709651233</v>
      </c>
      <c r="AN56">
        <f t="shared" si="4"/>
        <v>366.13738151782093</v>
      </c>
    </row>
    <row r="57" spans="1:40" x14ac:dyDescent="0.25">
      <c r="A57" s="26"/>
      <c r="B57" s="1" t="s">
        <v>24</v>
      </c>
      <c r="C57" s="4">
        <f>Historical_Data!F10</f>
        <v>219</v>
      </c>
      <c r="D57" s="4">
        <v>56</v>
      </c>
      <c r="E57" s="23">
        <v>109</v>
      </c>
      <c r="F57" s="23">
        <v>111.4851206521684</v>
      </c>
      <c r="G57" s="5">
        <v>95.728303819577008</v>
      </c>
      <c r="H57" s="5">
        <v>20.086950693920368</v>
      </c>
      <c r="I57" s="23">
        <v>64.910379774471252</v>
      </c>
      <c r="J57" s="5">
        <v>308.8481005003448</v>
      </c>
      <c r="K57" s="5">
        <v>53.873028988291424</v>
      </c>
      <c r="L57" s="5">
        <v>0.70735652494645829</v>
      </c>
      <c r="M57" s="23">
        <v>212.32148882797989</v>
      </c>
      <c r="N57" s="23">
        <v>130.21428571428572</v>
      </c>
      <c r="O57" s="23">
        <v>104.33333333333333</v>
      </c>
      <c r="P57" s="23">
        <v>128.5</v>
      </c>
      <c r="AK57">
        <f t="shared" si="2"/>
        <v>210.10225177835883</v>
      </c>
      <c r="AL57">
        <f t="shared" si="3"/>
        <v>0.60922723620986319</v>
      </c>
      <c r="AM57">
        <f t="shared" si="1"/>
        <v>1.0582963932026093</v>
      </c>
      <c r="AN57">
        <f t="shared" si="4"/>
        <v>228.30682016884342</v>
      </c>
    </row>
    <row r="58" spans="1:40" x14ac:dyDescent="0.25">
      <c r="A58" s="26"/>
      <c r="B58" s="1" t="s">
        <v>25</v>
      </c>
      <c r="C58" s="4">
        <f>Historical_Data!F11</f>
        <v>206</v>
      </c>
      <c r="D58" s="4">
        <v>57</v>
      </c>
      <c r="E58" s="23">
        <v>149.33333333333334</v>
      </c>
      <c r="F58" s="23">
        <v>132.98809652173475</v>
      </c>
      <c r="G58" s="5">
        <v>133.85220361079791</v>
      </c>
      <c r="H58" s="5">
        <v>34.516509971760797</v>
      </c>
      <c r="I58" s="23">
        <v>115.81525451349738</v>
      </c>
      <c r="J58" s="5">
        <v>364.18089271270833</v>
      </c>
      <c r="K58" s="5">
        <v>55.040839567549106</v>
      </c>
      <c r="L58" s="5">
        <v>0.56476033867821851</v>
      </c>
      <c r="M58" s="23">
        <v>201.93655385706398</v>
      </c>
      <c r="N58" s="23">
        <v>141.14285714285714</v>
      </c>
      <c r="O58" s="23">
        <v>119.33333333333333</v>
      </c>
      <c r="P58" s="23">
        <v>126.58333333333333</v>
      </c>
      <c r="AK58">
        <f t="shared" si="2"/>
        <v>210.73719633164728</v>
      </c>
      <c r="AL58">
        <f t="shared" si="3"/>
        <v>0.61951416304129747</v>
      </c>
      <c r="AM58">
        <f t="shared" si="1"/>
        <v>0.97741349146914591</v>
      </c>
      <c r="AN58">
        <f t="shared" si="4"/>
        <v>205.9371634692618</v>
      </c>
    </row>
    <row r="59" spans="1:40" x14ac:dyDescent="0.25">
      <c r="A59" s="26"/>
      <c r="B59" s="1" t="s">
        <v>26</v>
      </c>
      <c r="C59" s="4">
        <f>Historical_Data!F12</f>
        <v>186</v>
      </c>
      <c r="D59" s="4">
        <v>58</v>
      </c>
      <c r="E59" s="23">
        <v>171.66666666666666</v>
      </c>
      <c r="F59" s="23">
        <v>147.59047721738779</v>
      </c>
      <c r="G59" s="5">
        <v>171.894970866047</v>
      </c>
      <c r="H59" s="5">
        <v>37.337515798551429</v>
      </c>
      <c r="I59" s="23">
        <v>168.36871358255871</v>
      </c>
      <c r="J59" s="5">
        <v>441.12643055968942</v>
      </c>
      <c r="K59" s="5">
        <v>72.564598191094703</v>
      </c>
      <c r="L59" s="5">
        <v>0.41466066524141126</v>
      </c>
      <c r="M59" s="23">
        <v>147.47223939312568</v>
      </c>
      <c r="N59" s="23"/>
      <c r="O59" s="23">
        <v>141.83333333333334</v>
      </c>
      <c r="P59" s="23">
        <v>126.33333333333333</v>
      </c>
      <c r="AK59">
        <f t="shared" si="2"/>
        <v>197.64744967833917</v>
      </c>
      <c r="AL59">
        <f t="shared" si="3"/>
        <v>-4.8641901634984661</v>
      </c>
      <c r="AM59">
        <f t="shared" si="1"/>
        <v>1.0066387905662528</v>
      </c>
      <c r="AN59">
        <f t="shared" si="4"/>
        <v>221.99886028529903</v>
      </c>
    </row>
    <row r="60" spans="1:40" x14ac:dyDescent="0.25">
      <c r="A60" s="26"/>
      <c r="B60" s="1" t="s">
        <v>27</v>
      </c>
      <c r="C60" s="4">
        <f>Historical_Data!F13</f>
        <v>140</v>
      </c>
      <c r="D60" s="4">
        <v>59</v>
      </c>
      <c r="E60" s="23">
        <v>203.66666666666666</v>
      </c>
      <c r="F60" s="23">
        <v>155.27238177391024</v>
      </c>
      <c r="G60" s="5">
        <v>195.38598933167876</v>
      </c>
      <c r="H60" s="5">
        <v>26.260317932215688</v>
      </c>
      <c r="I60" s="23">
        <v>209.23248666459844</v>
      </c>
      <c r="J60" s="5">
        <v>461.44809144485669</v>
      </c>
      <c r="K60" s="5">
        <v>30.770248346352744</v>
      </c>
      <c r="L60" s="5">
        <v>0.32850420434450878</v>
      </c>
      <c r="M60" s="23">
        <v>284.84547657980977</v>
      </c>
      <c r="N60" s="23"/>
      <c r="O60" s="23">
        <v>156.33333333333334</v>
      </c>
      <c r="P60" s="23">
        <v>133</v>
      </c>
      <c r="AK60">
        <f t="shared" si="2"/>
        <v>168.29486841029524</v>
      </c>
      <c r="AL60">
        <f t="shared" si="3"/>
        <v>-14.659546605316654</v>
      </c>
      <c r="AM60">
        <f t="shared" si="1"/>
        <v>0.97123017117737698</v>
      </c>
      <c r="AN60">
        <f t="shared" si="4"/>
        <v>205.14737181779219</v>
      </c>
    </row>
    <row r="61" spans="1:40" x14ac:dyDescent="0.25">
      <c r="A61" s="26"/>
      <c r="B61" s="1" t="s">
        <v>28</v>
      </c>
      <c r="C61" s="4">
        <f>Historical_Data!F14</f>
        <v>61</v>
      </c>
      <c r="D61" s="4">
        <v>60</v>
      </c>
      <c r="E61" s="23">
        <v>177.33333333333334</v>
      </c>
      <c r="F61" s="23">
        <v>152.21790541912821</v>
      </c>
      <c r="G61" s="5">
        <v>189.51704581111557</v>
      </c>
      <c r="H61" s="5">
        <v>0.55690876999258254</v>
      </c>
      <c r="I61" s="23">
        <v>221.64630726389444</v>
      </c>
      <c r="J61" s="5">
        <v>424.15058668014467</v>
      </c>
      <c r="K61" s="5">
        <v>-23.683954142499068</v>
      </c>
      <c r="L61" s="5">
        <v>0.16959856163246445</v>
      </c>
      <c r="M61" s="23">
        <v>197.69161770648105</v>
      </c>
      <c r="N61" s="23"/>
      <c r="O61" s="23">
        <v>163.33333333333334</v>
      </c>
      <c r="P61" s="23">
        <v>130.83333333333334</v>
      </c>
      <c r="AK61">
        <f t="shared" si="2"/>
        <v>123.62937566855574</v>
      </c>
      <c r="AL61">
        <f t="shared" si="3"/>
        <v>-26.661925059885792</v>
      </c>
      <c r="AM61">
        <f t="shared" si="1"/>
        <v>0.66289179281805277</v>
      </c>
      <c r="AN61">
        <f t="shared" si="4"/>
        <v>119.20249578307073</v>
      </c>
    </row>
  </sheetData>
  <sheetProtection algorithmName="SHA-512" hashValue="4SRkfo2/g1p4vkLMzW8a+o/tuFkmritmIE0YDnGykfVhvCZ6yam3QI9Ia+8PM9nfRULT9pFmYnFC/KLlyu1zrw==" saltValue="Q5Z8DU7pH6Yw1sGeVPW8yw==" spinCount="100000" sheet="1" objects="1" scenarios="1"/>
  <mergeCells count="5">
    <mergeCell ref="A2:A13"/>
    <mergeCell ref="A14:A25"/>
    <mergeCell ref="A26:A37"/>
    <mergeCell ref="A38:A49"/>
    <mergeCell ref="A50:A6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A8C92-2304-4689-921A-D79BFA945FE5}">
  <sheetPr codeName="Sheet3"/>
  <dimension ref="A1:F16"/>
  <sheetViews>
    <sheetView workbookViewId="0">
      <selection activeCell="B5" sqref="B5"/>
    </sheetView>
  </sheetViews>
  <sheetFormatPr defaultRowHeight="15" x14ac:dyDescent="0.25"/>
  <cols>
    <col min="1" max="1" width="11.85546875" bestFit="1" customWidth="1"/>
    <col min="2" max="6" width="14.28515625" bestFit="1" customWidth="1"/>
  </cols>
  <sheetData>
    <row r="1" spans="1:6" x14ac:dyDescent="0.25">
      <c r="A1" s="17" t="s">
        <v>44</v>
      </c>
      <c r="B1" s="17" t="s">
        <v>13</v>
      </c>
      <c r="C1" s="17" t="s">
        <v>29</v>
      </c>
      <c r="D1" s="17" t="s">
        <v>30</v>
      </c>
      <c r="E1" s="17" t="s">
        <v>31</v>
      </c>
      <c r="F1" s="17" t="s">
        <v>32</v>
      </c>
    </row>
    <row r="2" spans="1:6" x14ac:dyDescent="0.25">
      <c r="A2" s="18" t="s">
        <v>0</v>
      </c>
      <c r="B2" s="19" t="s">
        <v>13</v>
      </c>
      <c r="C2" s="19" t="s">
        <v>29</v>
      </c>
      <c r="D2" s="19" t="s">
        <v>30</v>
      </c>
      <c r="E2" s="19" t="s">
        <v>31</v>
      </c>
      <c r="F2" s="20" t="s">
        <v>32</v>
      </c>
    </row>
    <row r="3" spans="1:6" x14ac:dyDescent="0.25">
      <c r="A3" s="11" t="s">
        <v>14</v>
      </c>
      <c r="B3" s="12">
        <v>40</v>
      </c>
      <c r="C3" s="12">
        <v>59</v>
      </c>
      <c r="D3" s="12">
        <v>140</v>
      </c>
      <c r="E3" s="12">
        <v>238</v>
      </c>
      <c r="F3" s="13">
        <v>96</v>
      </c>
    </row>
    <row r="4" spans="1:6" x14ac:dyDescent="0.25">
      <c r="A4" s="14" t="s">
        <v>18</v>
      </c>
      <c r="B4" s="15">
        <v>214</v>
      </c>
      <c r="C4" s="15">
        <v>228</v>
      </c>
      <c r="D4" s="15">
        <v>105</v>
      </c>
      <c r="E4" s="15">
        <v>136</v>
      </c>
      <c r="F4" s="16">
        <v>129</v>
      </c>
    </row>
    <row r="5" spans="1:6" x14ac:dyDescent="0.25">
      <c r="A5" s="11" t="s">
        <v>19</v>
      </c>
      <c r="B5" s="12">
        <v>60</v>
      </c>
      <c r="C5" s="12">
        <v>51</v>
      </c>
      <c r="D5" s="12">
        <v>147</v>
      </c>
      <c r="E5" s="12">
        <v>42</v>
      </c>
      <c r="F5" s="13">
        <v>71</v>
      </c>
    </row>
    <row r="6" spans="1:6" x14ac:dyDescent="0.25">
      <c r="A6" s="14" t="s">
        <v>20</v>
      </c>
      <c r="B6" s="15">
        <v>138</v>
      </c>
      <c r="C6" s="15">
        <v>123</v>
      </c>
      <c r="D6" s="15">
        <v>88</v>
      </c>
      <c r="E6" s="15">
        <v>70</v>
      </c>
      <c r="F6" s="16">
        <v>99</v>
      </c>
    </row>
    <row r="7" spans="1:6" x14ac:dyDescent="0.25">
      <c r="A7" s="11" t="s">
        <v>21</v>
      </c>
      <c r="B7" s="12">
        <v>65</v>
      </c>
      <c r="C7" s="12">
        <v>98</v>
      </c>
      <c r="D7" s="12">
        <v>83</v>
      </c>
      <c r="E7" s="12">
        <v>64</v>
      </c>
      <c r="F7" s="13">
        <v>98</v>
      </c>
    </row>
    <row r="8" spans="1:6" x14ac:dyDescent="0.25">
      <c r="A8" s="14" t="s">
        <v>22</v>
      </c>
      <c r="B8" s="15">
        <v>36</v>
      </c>
      <c r="C8" s="15">
        <v>124</v>
      </c>
      <c r="D8" s="15">
        <v>77</v>
      </c>
      <c r="E8" s="15">
        <v>66</v>
      </c>
      <c r="F8" s="16">
        <v>139</v>
      </c>
    </row>
    <row r="9" spans="1:6" x14ac:dyDescent="0.25">
      <c r="A9" s="11" t="s">
        <v>23</v>
      </c>
      <c r="B9" s="12">
        <v>267</v>
      </c>
      <c r="C9" s="12">
        <v>163</v>
      </c>
      <c r="D9" s="12">
        <v>89</v>
      </c>
      <c r="E9" s="12">
        <v>215</v>
      </c>
      <c r="F9" s="13">
        <v>90</v>
      </c>
    </row>
    <row r="10" spans="1:6" x14ac:dyDescent="0.25">
      <c r="A10" s="14" t="s">
        <v>24</v>
      </c>
      <c r="B10" s="15">
        <v>103</v>
      </c>
      <c r="C10" s="15">
        <v>357</v>
      </c>
      <c r="D10" s="15">
        <v>154</v>
      </c>
      <c r="E10" s="15">
        <v>242</v>
      </c>
      <c r="F10" s="16">
        <v>219</v>
      </c>
    </row>
    <row r="11" spans="1:6" x14ac:dyDescent="0.25">
      <c r="A11" s="11" t="s">
        <v>25</v>
      </c>
      <c r="B11" s="12">
        <v>164</v>
      </c>
      <c r="C11" s="12">
        <v>133</v>
      </c>
      <c r="D11" s="12">
        <v>140</v>
      </c>
      <c r="E11" s="12">
        <v>209</v>
      </c>
      <c r="F11" s="13">
        <v>206</v>
      </c>
    </row>
    <row r="12" spans="1:6" x14ac:dyDescent="0.25">
      <c r="A12" s="14" t="s">
        <v>26</v>
      </c>
      <c r="B12" s="15">
        <v>232</v>
      </c>
      <c r="C12" s="15">
        <v>161</v>
      </c>
      <c r="D12" s="15">
        <v>148</v>
      </c>
      <c r="E12" s="15">
        <v>106</v>
      </c>
      <c r="F12" s="16">
        <v>186</v>
      </c>
    </row>
    <row r="13" spans="1:6" x14ac:dyDescent="0.25">
      <c r="A13" s="11" t="s">
        <v>27</v>
      </c>
      <c r="B13" s="12">
        <v>140</v>
      </c>
      <c r="C13" s="12">
        <v>157</v>
      </c>
      <c r="D13" s="12">
        <v>125</v>
      </c>
      <c r="E13" s="12">
        <v>166</v>
      </c>
      <c r="F13" s="13">
        <v>140</v>
      </c>
    </row>
    <row r="14" spans="1:6" x14ac:dyDescent="0.25">
      <c r="A14" s="14" t="s">
        <v>28</v>
      </c>
      <c r="B14" s="15">
        <v>132</v>
      </c>
      <c r="C14" s="15">
        <v>51</v>
      </c>
      <c r="D14" s="15">
        <v>83</v>
      </c>
      <c r="E14" s="15">
        <v>97</v>
      </c>
      <c r="F14" s="16">
        <v>61</v>
      </c>
    </row>
    <row r="15" spans="1:6" x14ac:dyDescent="0.25">
      <c r="A15" s="27"/>
      <c r="B15" s="27"/>
      <c r="C15" s="27"/>
      <c r="D15" s="27"/>
      <c r="E15" s="27"/>
      <c r="F15" s="27"/>
    </row>
    <row r="16" spans="1:6" ht="15.75" customHeight="1" x14ac:dyDescent="0.25">
      <c r="A16" s="27"/>
      <c r="B16" s="27"/>
      <c r="C16" s="27"/>
      <c r="D16" s="27"/>
      <c r="E16" s="27"/>
      <c r="F16" s="27"/>
    </row>
  </sheetData>
  <mergeCells count="1">
    <mergeCell ref="A15:F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50" r:id="rId3" name="CommandButton2">
          <controlPr defaultSize="0" autoLine="0" r:id="rId4">
            <anchor moveWithCells="1">
              <from>
                <xdr:col>3</xdr:col>
                <xdr:colOff>9525</xdr:colOff>
                <xdr:row>14</xdr:row>
                <xdr:rowOff>9525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27650" r:id="rId3" name="CommandButton2"/>
      </mc:Fallback>
    </mc:AlternateContent>
    <mc:AlternateContent xmlns:mc="http://schemas.openxmlformats.org/markup-compatibility/2006">
      <mc:Choice Requires="x14">
        <control shapeId="27649" r:id="rId5" name="CommandButton1">
          <controlPr defaultSize="0" autoLine="0" r:id="rId6">
            <anchor moveWithCells="1">
              <from>
                <xdr:col>1</xdr:col>
                <xdr:colOff>733425</xdr:colOff>
                <xdr:row>14</xdr:row>
                <xdr:rowOff>9525</xdr:rowOff>
              </from>
              <to>
                <xdr:col>2</xdr:col>
                <xdr:colOff>771525</xdr:colOff>
                <xdr:row>16</xdr:row>
                <xdr:rowOff>0</xdr:rowOff>
              </to>
            </anchor>
          </controlPr>
        </control>
      </mc:Choice>
      <mc:Fallback>
        <control shapeId="27649" r:id="rId5" name="CommandButton1"/>
      </mc:Fallback>
    </mc:AlternateContent>
    <mc:AlternateContent xmlns:mc="http://schemas.openxmlformats.org/markup-compatibility/2006">
      <mc:Choice Requires="x14">
        <control shapeId="27651" r:id="rId7" name="CommandButton3">
          <controlPr defaultSize="0" autoLine="0" autoPict="0" r:id="rId8">
            <anchor moveWithCells="1">
              <from>
                <xdr:col>0</xdr:col>
                <xdr:colOff>342900</xdr:colOff>
                <xdr:row>14</xdr:row>
                <xdr:rowOff>0</xdr:rowOff>
              </from>
              <to>
                <xdr:col>1</xdr:col>
                <xdr:colOff>552450</xdr:colOff>
                <xdr:row>16</xdr:row>
                <xdr:rowOff>0</xdr:rowOff>
              </to>
            </anchor>
          </controlPr>
        </control>
      </mc:Choice>
      <mc:Fallback>
        <control shapeId="27651" r:id="rId7" name="CommandButton3"/>
      </mc:Fallback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E60B1-4BD7-4952-9A7E-F5359A460C49}">
  <sheetPr codeName="Sheet7"/>
  <dimension ref="A1:F14"/>
  <sheetViews>
    <sheetView workbookViewId="0">
      <selection activeCell="G7" sqref="G7"/>
    </sheetView>
  </sheetViews>
  <sheetFormatPr defaultRowHeight="15" x14ac:dyDescent="0.25"/>
  <cols>
    <col min="1" max="1" width="14.7109375" bestFit="1" customWidth="1"/>
    <col min="2" max="6" width="14.28515625" bestFit="1" customWidth="1"/>
  </cols>
  <sheetData>
    <row r="1" spans="1:6" x14ac:dyDescent="0.25">
      <c r="A1" s="17" t="s">
        <v>45</v>
      </c>
      <c r="B1" s="17" t="s">
        <v>13</v>
      </c>
      <c r="C1" s="17" t="s">
        <v>29</v>
      </c>
      <c r="D1" s="17" t="s">
        <v>30</v>
      </c>
      <c r="E1" s="17" t="s">
        <v>31</v>
      </c>
      <c r="F1" s="17" t="s">
        <v>32</v>
      </c>
    </row>
    <row r="2" spans="1:6" x14ac:dyDescent="0.25">
      <c r="A2" s="18" t="s">
        <v>0</v>
      </c>
      <c r="B2" s="19" t="s">
        <v>13</v>
      </c>
      <c r="C2" s="19" t="s">
        <v>29</v>
      </c>
      <c r="D2" s="19" t="s">
        <v>30</v>
      </c>
      <c r="E2" s="19" t="s">
        <v>31</v>
      </c>
      <c r="F2" s="20" t="s">
        <v>32</v>
      </c>
    </row>
    <row r="3" spans="1:6" x14ac:dyDescent="0.25">
      <c r="A3" s="11" t="s">
        <v>14</v>
      </c>
      <c r="B3" s="12">
        <v>40</v>
      </c>
      <c r="C3" s="12">
        <v>59</v>
      </c>
      <c r="D3" s="12">
        <v>140</v>
      </c>
      <c r="E3" s="12">
        <v>238</v>
      </c>
      <c r="F3" s="13">
        <v>96</v>
      </c>
    </row>
    <row r="4" spans="1:6" x14ac:dyDescent="0.25">
      <c r="A4" s="14" t="s">
        <v>18</v>
      </c>
      <c r="B4" s="15">
        <v>214</v>
      </c>
      <c r="C4" s="15">
        <v>228</v>
      </c>
      <c r="D4" s="15">
        <v>105</v>
      </c>
      <c r="E4" s="15">
        <v>136</v>
      </c>
      <c r="F4" s="16">
        <v>129</v>
      </c>
    </row>
    <row r="5" spans="1:6" x14ac:dyDescent="0.25">
      <c r="A5" s="11" t="s">
        <v>19</v>
      </c>
      <c r="B5" s="12">
        <v>60</v>
      </c>
      <c r="C5" s="12">
        <v>51</v>
      </c>
      <c r="D5" s="12">
        <v>147</v>
      </c>
      <c r="E5" s="12">
        <v>42</v>
      </c>
      <c r="F5" s="13">
        <v>71</v>
      </c>
    </row>
    <row r="6" spans="1:6" x14ac:dyDescent="0.25">
      <c r="A6" s="14" t="s">
        <v>20</v>
      </c>
      <c r="B6" s="15">
        <v>138</v>
      </c>
      <c r="C6" s="15">
        <v>123</v>
      </c>
      <c r="D6" s="15">
        <v>88</v>
      </c>
      <c r="E6" s="15">
        <v>70</v>
      </c>
      <c r="F6" s="16">
        <v>99</v>
      </c>
    </row>
    <row r="7" spans="1:6" x14ac:dyDescent="0.25">
      <c r="A7" s="11" t="s">
        <v>21</v>
      </c>
      <c r="B7" s="12">
        <v>65</v>
      </c>
      <c r="C7" s="12">
        <v>98</v>
      </c>
      <c r="D7" s="12">
        <v>83</v>
      </c>
      <c r="E7" s="12">
        <v>64</v>
      </c>
      <c r="F7" s="13">
        <v>98</v>
      </c>
    </row>
    <row r="8" spans="1:6" x14ac:dyDescent="0.25">
      <c r="A8" s="14" t="s">
        <v>22</v>
      </c>
      <c r="B8" s="15">
        <v>36</v>
      </c>
      <c r="C8" s="15">
        <v>124</v>
      </c>
      <c r="D8" s="15">
        <v>77</v>
      </c>
      <c r="E8" s="15">
        <v>66</v>
      </c>
      <c r="F8" s="16">
        <v>139</v>
      </c>
    </row>
    <row r="9" spans="1:6" x14ac:dyDescent="0.25">
      <c r="A9" s="11" t="s">
        <v>23</v>
      </c>
      <c r="B9" s="12">
        <v>267</v>
      </c>
      <c r="C9" s="12">
        <v>163</v>
      </c>
      <c r="D9" s="12">
        <v>89</v>
      </c>
      <c r="E9" s="12">
        <v>215</v>
      </c>
      <c r="F9" s="13">
        <v>90</v>
      </c>
    </row>
    <row r="10" spans="1:6" x14ac:dyDescent="0.25">
      <c r="A10" s="14" t="s">
        <v>24</v>
      </c>
      <c r="B10" s="15">
        <v>103</v>
      </c>
      <c r="C10" s="15">
        <v>357</v>
      </c>
      <c r="D10" s="15">
        <v>154</v>
      </c>
      <c r="E10" s="15">
        <v>242</v>
      </c>
      <c r="F10" s="16">
        <v>219</v>
      </c>
    </row>
    <row r="11" spans="1:6" x14ac:dyDescent="0.25">
      <c r="A11" s="11" t="s">
        <v>25</v>
      </c>
      <c r="B11" s="12">
        <v>164</v>
      </c>
      <c r="C11" s="12">
        <v>133</v>
      </c>
      <c r="D11" s="12">
        <v>140</v>
      </c>
      <c r="E11" s="12">
        <v>209</v>
      </c>
      <c r="F11" s="13">
        <v>206</v>
      </c>
    </row>
    <row r="12" spans="1:6" x14ac:dyDescent="0.25">
      <c r="A12" s="14" t="s">
        <v>26</v>
      </c>
      <c r="B12" s="15">
        <v>232</v>
      </c>
      <c r="C12" s="15">
        <v>161</v>
      </c>
      <c r="D12" s="15">
        <v>148</v>
      </c>
      <c r="E12" s="15">
        <v>106</v>
      </c>
      <c r="F12" s="16">
        <v>186</v>
      </c>
    </row>
    <row r="13" spans="1:6" x14ac:dyDescent="0.25">
      <c r="A13" s="11" t="s">
        <v>27</v>
      </c>
      <c r="B13" s="12">
        <v>140</v>
      </c>
      <c r="C13" s="12">
        <v>157</v>
      </c>
      <c r="D13" s="12">
        <v>125</v>
      </c>
      <c r="E13" s="12">
        <v>166</v>
      </c>
      <c r="F13" s="13">
        <v>140</v>
      </c>
    </row>
    <row r="14" spans="1:6" x14ac:dyDescent="0.25">
      <c r="A14" s="14" t="s">
        <v>28</v>
      </c>
      <c r="B14" s="15">
        <v>132</v>
      </c>
      <c r="C14" s="15">
        <v>51</v>
      </c>
      <c r="D14" s="15">
        <v>83</v>
      </c>
      <c r="E14" s="15">
        <v>97</v>
      </c>
      <c r="F14" s="16">
        <v>61</v>
      </c>
    </row>
  </sheetData>
  <sheetProtection algorithmName="SHA-512" hashValue="BqNAcEymbQ7Y095ppM3fV1ZQrZS5bXMVbWIEpSHnBzvcDyXIqr0ZyzBmW8gHZK6uHT1WBXet3WQPbM10Eur/6w==" saltValue="kIRjsaympfo1f32LQUjFkw==" spinCount="100000"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EC63D-9FF9-4B7E-B162-9C495E476499}">
  <sheetPr codeName="Sheet31"/>
  <dimension ref="A1:I61"/>
  <sheetViews>
    <sheetView workbookViewId="0"/>
  </sheetViews>
  <sheetFormatPr defaultRowHeight="15" x14ac:dyDescent="0.25"/>
  <cols>
    <col min="1" max="1" width="9.7109375" bestFit="1" customWidth="1"/>
    <col min="2" max="2" width="9.28515625" bestFit="1" customWidth="1"/>
    <col min="3" max="3" width="12" bestFit="1" customWidth="1"/>
    <col min="5" max="5" width="8.42578125" style="3" bestFit="1" customWidth="1"/>
    <col min="6" max="6" width="9.5703125" style="3" bestFit="1" customWidth="1"/>
    <col min="7" max="7" width="18.28515625" style="3" bestFit="1" customWidth="1"/>
    <col min="8" max="8" width="13.140625" style="3" bestFit="1" customWidth="1"/>
    <col min="9" max="9" width="29" style="3" bestFit="1" customWidth="1"/>
  </cols>
  <sheetData>
    <row r="1" spans="1:9" x14ac:dyDescent="0.25">
      <c r="A1" s="1"/>
      <c r="B1" s="1" t="s">
        <v>0</v>
      </c>
      <c r="C1" s="1" t="s">
        <v>1</v>
      </c>
      <c r="D1" s="1" t="s">
        <v>2</v>
      </c>
      <c r="E1" s="2" t="s">
        <v>33</v>
      </c>
      <c r="F1" s="2" t="s">
        <v>34</v>
      </c>
      <c r="G1" s="2" t="s">
        <v>35</v>
      </c>
      <c r="H1" s="2" t="s">
        <v>36</v>
      </c>
      <c r="I1" s="2" t="s">
        <v>37</v>
      </c>
    </row>
    <row r="2" spans="1:9" x14ac:dyDescent="0.25">
      <c r="A2" s="26" t="s">
        <v>13</v>
      </c>
      <c r="B2" s="1" t="s">
        <v>14</v>
      </c>
      <c r="C2" s="4">
        <f>Data!C2</f>
        <v>40</v>
      </c>
      <c r="D2" s="4">
        <v>1</v>
      </c>
      <c r="E2" s="5"/>
      <c r="F2" s="5"/>
      <c r="G2" s="5"/>
      <c r="H2" s="5"/>
      <c r="I2" s="5"/>
    </row>
    <row r="3" spans="1:9" x14ac:dyDescent="0.25">
      <c r="A3" s="26"/>
      <c r="B3" s="1" t="s">
        <v>18</v>
      </c>
      <c r="C3" s="4">
        <f>Data!C3</f>
        <v>214</v>
      </c>
      <c r="D3" s="4">
        <v>2</v>
      </c>
      <c r="E3" s="5"/>
      <c r="F3" s="5"/>
      <c r="G3" s="5"/>
      <c r="H3" s="5"/>
      <c r="I3" s="5"/>
    </row>
    <row r="4" spans="1:9" x14ac:dyDescent="0.25">
      <c r="A4" s="26"/>
      <c r="B4" s="1" t="s">
        <v>19</v>
      </c>
      <c r="C4" s="4">
        <f>Data!C4</f>
        <v>60</v>
      </c>
      <c r="D4" s="4">
        <v>3</v>
      </c>
      <c r="E4" s="5"/>
      <c r="F4" s="5"/>
      <c r="G4" s="5"/>
      <c r="H4" s="5"/>
      <c r="I4" s="5"/>
    </row>
    <row r="5" spans="1:9" x14ac:dyDescent="0.25">
      <c r="A5" s="26"/>
      <c r="B5" s="1" t="s">
        <v>20</v>
      </c>
      <c r="C5" s="4">
        <f>Data!C5</f>
        <v>138</v>
      </c>
      <c r="D5" s="4">
        <v>4</v>
      </c>
      <c r="E5" s="5"/>
      <c r="F5" s="5"/>
      <c r="G5" s="5"/>
      <c r="H5" s="5"/>
      <c r="I5" s="5"/>
    </row>
    <row r="6" spans="1:9" x14ac:dyDescent="0.25">
      <c r="A6" s="26"/>
      <c r="B6" s="1" t="s">
        <v>21</v>
      </c>
      <c r="C6" s="4">
        <f>Data!C6</f>
        <v>65</v>
      </c>
      <c r="D6" s="4">
        <v>5</v>
      </c>
      <c r="E6" s="5"/>
      <c r="F6" s="5"/>
      <c r="G6" s="5"/>
      <c r="H6" s="5"/>
      <c r="I6" s="5"/>
    </row>
    <row r="7" spans="1:9" x14ac:dyDescent="0.25">
      <c r="A7" s="26"/>
      <c r="B7" s="1" t="s">
        <v>22</v>
      </c>
      <c r="C7" s="4">
        <f>Data!C7</f>
        <v>36</v>
      </c>
      <c r="D7" s="4">
        <v>6</v>
      </c>
      <c r="E7" s="5"/>
      <c r="F7" s="5"/>
      <c r="G7" s="5"/>
      <c r="H7" s="5"/>
      <c r="I7" s="5"/>
    </row>
    <row r="8" spans="1:9" x14ac:dyDescent="0.25">
      <c r="A8" s="26"/>
      <c r="B8" s="1" t="s">
        <v>23</v>
      </c>
      <c r="C8" s="4">
        <f>Data!C8</f>
        <v>267</v>
      </c>
      <c r="D8" s="4">
        <v>7</v>
      </c>
      <c r="E8" s="5"/>
      <c r="F8" s="5"/>
      <c r="G8" s="5"/>
      <c r="H8" s="5"/>
      <c r="I8" s="5"/>
    </row>
    <row r="9" spans="1:9" x14ac:dyDescent="0.25">
      <c r="A9" s="26"/>
      <c r="B9" s="1" t="s">
        <v>24</v>
      </c>
      <c r="C9" s="4">
        <f>Data!C9</f>
        <v>103</v>
      </c>
      <c r="D9" s="4">
        <v>8</v>
      </c>
      <c r="E9" s="5"/>
      <c r="F9" s="5"/>
      <c r="G9" s="5"/>
      <c r="H9" s="5"/>
      <c r="I9" s="5"/>
    </row>
    <row r="10" spans="1:9" x14ac:dyDescent="0.25">
      <c r="A10" s="26"/>
      <c r="B10" s="1" t="s">
        <v>25</v>
      </c>
      <c r="C10" s="4">
        <f>Data!C10</f>
        <v>164</v>
      </c>
      <c r="D10" s="4">
        <v>9</v>
      </c>
      <c r="E10" s="5"/>
      <c r="F10" s="5"/>
      <c r="G10" s="5"/>
      <c r="H10" s="5"/>
      <c r="I10" s="5"/>
    </row>
    <row r="11" spans="1:9" x14ac:dyDescent="0.25">
      <c r="A11" s="26"/>
      <c r="B11" s="1" t="s">
        <v>26</v>
      </c>
      <c r="C11" s="4">
        <f>Data!C11</f>
        <v>232</v>
      </c>
      <c r="D11" s="4">
        <v>10</v>
      </c>
      <c r="E11" s="5"/>
      <c r="F11" s="5"/>
      <c r="G11" s="5"/>
      <c r="H11" s="5"/>
      <c r="I11" s="5"/>
    </row>
    <row r="12" spans="1:9" x14ac:dyDescent="0.25">
      <c r="A12" s="26"/>
      <c r="B12" s="1" t="s">
        <v>27</v>
      </c>
      <c r="C12" s="4">
        <f>Data!C12</f>
        <v>140</v>
      </c>
      <c r="D12" s="4">
        <v>11</v>
      </c>
      <c r="E12" s="5"/>
      <c r="F12" s="5"/>
      <c r="G12" s="5"/>
      <c r="H12" s="5"/>
      <c r="I12" s="5"/>
    </row>
    <row r="13" spans="1:9" x14ac:dyDescent="0.25">
      <c r="A13" s="26"/>
      <c r="B13" s="1" t="s">
        <v>28</v>
      </c>
      <c r="C13" s="4">
        <f>Data!C13</f>
        <v>132</v>
      </c>
      <c r="D13" s="4">
        <v>12</v>
      </c>
      <c r="E13" s="5"/>
      <c r="F13" s="5"/>
      <c r="G13" s="5"/>
      <c r="H13" s="5"/>
      <c r="I13" s="5"/>
    </row>
    <row r="14" spans="1:9" x14ac:dyDescent="0.25">
      <c r="A14" s="26" t="s">
        <v>29</v>
      </c>
      <c r="B14" s="1" t="s">
        <v>14</v>
      </c>
      <c r="C14" s="4">
        <f>Data!C14</f>
        <v>59</v>
      </c>
      <c r="D14" s="4">
        <v>13</v>
      </c>
      <c r="E14" s="5"/>
      <c r="F14" s="5"/>
      <c r="G14" s="5"/>
      <c r="H14" s="5"/>
      <c r="I14" s="5"/>
    </row>
    <row r="15" spans="1:9" x14ac:dyDescent="0.25">
      <c r="A15" s="26"/>
      <c r="B15" s="1" t="s">
        <v>18</v>
      </c>
      <c r="C15" s="4">
        <f>Data!C15</f>
        <v>228</v>
      </c>
      <c r="D15" s="4">
        <v>14</v>
      </c>
      <c r="E15" s="5"/>
      <c r="F15" s="5"/>
      <c r="G15" s="5"/>
      <c r="H15" s="5"/>
      <c r="I15" s="5"/>
    </row>
    <row r="16" spans="1:9" x14ac:dyDescent="0.25">
      <c r="A16" s="26"/>
      <c r="B16" s="1" t="s">
        <v>19</v>
      </c>
      <c r="C16" s="4">
        <f>Data!C16</f>
        <v>51</v>
      </c>
      <c r="D16" s="4">
        <v>15</v>
      </c>
      <c r="E16" s="5"/>
      <c r="F16" s="5"/>
      <c r="G16" s="5"/>
      <c r="H16" s="5"/>
      <c r="I16" s="5"/>
    </row>
    <row r="17" spans="1:9" x14ac:dyDescent="0.25">
      <c r="A17" s="26"/>
      <c r="B17" s="1" t="s">
        <v>20</v>
      </c>
      <c r="C17" s="4">
        <f>Data!C17</f>
        <v>123</v>
      </c>
      <c r="D17" s="4">
        <v>16</v>
      </c>
      <c r="E17" s="5"/>
      <c r="F17" s="5"/>
      <c r="G17" s="5"/>
      <c r="H17" s="5"/>
      <c r="I17" s="5"/>
    </row>
    <row r="18" spans="1:9" x14ac:dyDescent="0.25">
      <c r="A18" s="26"/>
      <c r="B18" s="1" t="s">
        <v>21</v>
      </c>
      <c r="C18" s="4">
        <f>Data!C18</f>
        <v>98</v>
      </c>
      <c r="D18" s="4">
        <v>17</v>
      </c>
      <c r="E18" s="5">
        <v>128.42857142857142</v>
      </c>
      <c r="F18" s="5">
        <v>30.428571428571416</v>
      </c>
      <c r="G18" s="5">
        <v>30.428571428571416</v>
      </c>
      <c r="H18" s="5">
        <v>925.8979591836727</v>
      </c>
      <c r="I18" s="5">
        <v>0.31049562682215731</v>
      </c>
    </row>
    <row r="19" spans="1:9" x14ac:dyDescent="0.25">
      <c r="A19" s="26"/>
      <c r="B19" s="1" t="s">
        <v>22</v>
      </c>
      <c r="C19" s="4">
        <f>Data!C19</f>
        <v>124</v>
      </c>
      <c r="D19" s="4">
        <v>18</v>
      </c>
      <c r="E19" s="5">
        <v>131.14285714285714</v>
      </c>
      <c r="F19" s="5">
        <v>7.1428571428571388</v>
      </c>
      <c r="G19" s="5">
        <v>7.1428571428571388</v>
      </c>
      <c r="H19" s="5">
        <v>51.020408163265245</v>
      </c>
      <c r="I19" s="5">
        <v>5.7603686635944666E-2</v>
      </c>
    </row>
    <row r="20" spans="1:9" x14ac:dyDescent="0.25">
      <c r="A20" s="26"/>
      <c r="B20" s="1" t="s">
        <v>23</v>
      </c>
      <c r="C20" s="4">
        <f>Data!C20</f>
        <v>163</v>
      </c>
      <c r="D20" s="4">
        <v>19</v>
      </c>
      <c r="E20" s="5">
        <v>130.14285714285714</v>
      </c>
      <c r="F20" s="5">
        <v>-32.857142857142861</v>
      </c>
      <c r="G20" s="5">
        <v>32.857142857142861</v>
      </c>
      <c r="H20" s="5">
        <v>1079.5918367346942</v>
      </c>
      <c r="I20" s="5">
        <v>0.20157756354075376</v>
      </c>
    </row>
    <row r="21" spans="1:9" x14ac:dyDescent="0.25">
      <c r="A21" s="26"/>
      <c r="B21" s="1" t="s">
        <v>24</v>
      </c>
      <c r="C21" s="4">
        <f>Data!C21</f>
        <v>357</v>
      </c>
      <c r="D21" s="4">
        <v>20</v>
      </c>
      <c r="E21" s="5">
        <v>137.14285714285714</v>
      </c>
      <c r="F21" s="5">
        <v>-219.85714285714286</v>
      </c>
      <c r="G21" s="5">
        <v>219.85714285714286</v>
      </c>
      <c r="H21" s="5">
        <v>48337.163265306124</v>
      </c>
      <c r="I21" s="5">
        <v>0.61584633853541415</v>
      </c>
    </row>
    <row r="22" spans="1:9" x14ac:dyDescent="0.25">
      <c r="A22" s="26"/>
      <c r="B22" s="1" t="s">
        <v>25</v>
      </c>
      <c r="C22" s="4">
        <f>Data!C22</f>
        <v>133</v>
      </c>
      <c r="D22" s="4">
        <v>21</v>
      </c>
      <c r="E22" s="5">
        <v>160.07142857142858</v>
      </c>
      <c r="F22" s="5">
        <v>27.071428571428584</v>
      </c>
      <c r="G22" s="5">
        <v>27.071428571428584</v>
      </c>
      <c r="H22" s="5">
        <v>732.86224489795984</v>
      </c>
      <c r="I22" s="5">
        <v>0.20354457572502693</v>
      </c>
    </row>
    <row r="23" spans="1:9" x14ac:dyDescent="0.25">
      <c r="A23" s="26"/>
      <c r="B23" s="1" t="s">
        <v>26</v>
      </c>
      <c r="C23" s="4">
        <f>Data!C23</f>
        <v>161</v>
      </c>
      <c r="D23" s="4">
        <v>22</v>
      </c>
      <c r="E23" s="5">
        <v>150.5</v>
      </c>
      <c r="F23" s="5">
        <v>-10.5</v>
      </c>
      <c r="G23" s="5">
        <v>10.5</v>
      </c>
      <c r="H23" s="5">
        <v>110.25</v>
      </c>
      <c r="I23" s="5">
        <v>6.5217391304347824E-2</v>
      </c>
    </row>
    <row r="24" spans="1:9" x14ac:dyDescent="0.25">
      <c r="A24" s="26"/>
      <c r="B24" s="1" t="s">
        <v>27</v>
      </c>
      <c r="C24" s="4">
        <f>Data!C24</f>
        <v>157</v>
      </c>
      <c r="D24" s="4">
        <v>23</v>
      </c>
      <c r="E24" s="5">
        <v>154.64285714285714</v>
      </c>
      <c r="F24" s="5">
        <v>-2.3571428571428612</v>
      </c>
      <c r="G24" s="5">
        <v>2.3571428571428612</v>
      </c>
      <c r="H24" s="5">
        <v>5.5561224489796111</v>
      </c>
      <c r="I24" s="5">
        <v>1.501364877161058E-2</v>
      </c>
    </row>
    <row r="25" spans="1:9" x14ac:dyDescent="0.25">
      <c r="A25" s="26"/>
      <c r="B25" s="1" t="s">
        <v>28</v>
      </c>
      <c r="C25" s="4">
        <f>Data!C25</f>
        <v>51</v>
      </c>
      <c r="D25" s="4">
        <v>24</v>
      </c>
      <c r="E25" s="5">
        <v>154.14285714285714</v>
      </c>
      <c r="F25" s="5">
        <v>103.14285714285714</v>
      </c>
      <c r="G25" s="5">
        <v>103.14285714285714</v>
      </c>
      <c r="H25" s="5">
        <v>10638.448979591836</v>
      </c>
      <c r="I25" s="5">
        <v>2.0224089635854341</v>
      </c>
    </row>
    <row r="26" spans="1:9" x14ac:dyDescent="0.25">
      <c r="A26" s="26" t="s">
        <v>30</v>
      </c>
      <c r="B26" s="1" t="s">
        <v>14</v>
      </c>
      <c r="C26" s="4">
        <f>Data!C26</f>
        <v>140</v>
      </c>
      <c r="D26" s="4">
        <v>25</v>
      </c>
      <c r="E26" s="5">
        <v>141.21428571428572</v>
      </c>
      <c r="F26" s="5">
        <v>1.2142857142857224</v>
      </c>
      <c r="G26" s="5">
        <v>1.2142857142857224</v>
      </c>
      <c r="H26" s="5">
        <v>1.4744897959183871</v>
      </c>
      <c r="I26" s="5">
        <v>8.6734693877551592E-3</v>
      </c>
    </row>
    <row r="27" spans="1:9" x14ac:dyDescent="0.25">
      <c r="A27" s="26"/>
      <c r="B27" s="1" t="s">
        <v>18</v>
      </c>
      <c r="C27" s="4">
        <f>Data!C27</f>
        <v>105</v>
      </c>
      <c r="D27" s="4">
        <v>26</v>
      </c>
      <c r="E27" s="5">
        <v>141.21428571428572</v>
      </c>
      <c r="F27" s="5">
        <v>36.214285714285722</v>
      </c>
      <c r="G27" s="5">
        <v>36.214285714285722</v>
      </c>
      <c r="H27" s="5">
        <v>1311.474489795919</v>
      </c>
      <c r="I27" s="5">
        <v>0.34489795918367355</v>
      </c>
    </row>
    <row r="28" spans="1:9" x14ac:dyDescent="0.25">
      <c r="A28" s="26"/>
      <c r="B28" s="1" t="s">
        <v>19</v>
      </c>
      <c r="C28" s="4">
        <f>Data!C28</f>
        <v>147</v>
      </c>
      <c r="D28" s="4">
        <v>27</v>
      </c>
      <c r="E28" s="5">
        <v>139.28571428571428</v>
      </c>
      <c r="F28" s="5">
        <v>-7.7142857142857224</v>
      </c>
      <c r="G28" s="5">
        <v>7.7142857142857224</v>
      </c>
      <c r="H28" s="5">
        <v>59.510204081632779</v>
      </c>
      <c r="I28" s="5">
        <v>5.2478134110787229E-2</v>
      </c>
    </row>
    <row r="29" spans="1:9" x14ac:dyDescent="0.25">
      <c r="A29" s="26"/>
      <c r="B29" s="1" t="s">
        <v>20</v>
      </c>
      <c r="C29" s="4">
        <f>Data!C29</f>
        <v>88</v>
      </c>
      <c r="D29" s="4">
        <v>28</v>
      </c>
      <c r="E29" s="5">
        <v>145.57142857142858</v>
      </c>
      <c r="F29" s="5">
        <v>57.571428571428584</v>
      </c>
      <c r="G29" s="5">
        <v>57.571428571428584</v>
      </c>
      <c r="H29" s="5">
        <v>3314.4693877551035</v>
      </c>
      <c r="I29" s="5">
        <v>0.65422077922077937</v>
      </c>
    </row>
    <row r="30" spans="1:9" x14ac:dyDescent="0.25">
      <c r="A30" s="26"/>
      <c r="B30" s="1" t="s">
        <v>21</v>
      </c>
      <c r="C30" s="4">
        <f>Data!C30</f>
        <v>83</v>
      </c>
      <c r="D30" s="4">
        <v>29</v>
      </c>
      <c r="E30" s="5">
        <v>135.57142857142858</v>
      </c>
      <c r="F30" s="5">
        <v>52.571428571428584</v>
      </c>
      <c r="G30" s="5">
        <v>52.571428571428584</v>
      </c>
      <c r="H30" s="5">
        <v>2763.7551020408177</v>
      </c>
      <c r="I30" s="5">
        <v>0.63339070567986244</v>
      </c>
    </row>
    <row r="31" spans="1:9" x14ac:dyDescent="0.25">
      <c r="A31" s="26"/>
      <c r="B31" s="1" t="s">
        <v>22</v>
      </c>
      <c r="C31" s="4">
        <f>Data!C31</f>
        <v>77</v>
      </c>
      <c r="D31" s="4">
        <v>30</v>
      </c>
      <c r="E31" s="5">
        <v>137.85714285714286</v>
      </c>
      <c r="F31" s="5">
        <v>60.857142857142861</v>
      </c>
      <c r="G31" s="5">
        <v>60.857142857142861</v>
      </c>
      <c r="H31" s="5">
        <v>3703.5918367346944</v>
      </c>
      <c r="I31" s="5">
        <v>0.79035250463821893</v>
      </c>
    </row>
    <row r="32" spans="1:9" x14ac:dyDescent="0.25">
      <c r="A32" s="26"/>
      <c r="B32" s="1" t="s">
        <v>23</v>
      </c>
      <c r="C32" s="4">
        <f>Data!C32</f>
        <v>89</v>
      </c>
      <c r="D32" s="4">
        <v>31</v>
      </c>
      <c r="E32" s="5">
        <v>134.57142857142858</v>
      </c>
      <c r="F32" s="5">
        <v>45.571428571428584</v>
      </c>
      <c r="G32" s="5">
        <v>45.571428571428584</v>
      </c>
      <c r="H32" s="5">
        <v>2076.7551020408173</v>
      </c>
      <c r="I32" s="5">
        <v>0.51203852327447852</v>
      </c>
    </row>
    <row r="33" spans="1:9" x14ac:dyDescent="0.25">
      <c r="A33" s="26"/>
      <c r="B33" s="1" t="s">
        <v>24</v>
      </c>
      <c r="C33" s="4">
        <f>Data!C33</f>
        <v>154</v>
      </c>
      <c r="D33" s="4">
        <v>32</v>
      </c>
      <c r="E33" s="5">
        <v>133.92857142857142</v>
      </c>
      <c r="F33" s="5">
        <v>-20.071428571428584</v>
      </c>
      <c r="G33" s="5">
        <v>20.071428571428584</v>
      </c>
      <c r="H33" s="5">
        <v>402.86224489795967</v>
      </c>
      <c r="I33" s="5">
        <v>0.13033395176252327</v>
      </c>
    </row>
    <row r="34" spans="1:9" x14ac:dyDescent="0.25">
      <c r="A34" s="26"/>
      <c r="B34" s="1" t="s">
        <v>25</v>
      </c>
      <c r="C34" s="4">
        <f>Data!C34</f>
        <v>140</v>
      </c>
      <c r="D34" s="4">
        <v>33</v>
      </c>
      <c r="E34" s="5">
        <v>136.07142857142858</v>
      </c>
      <c r="F34" s="5">
        <v>-3.9285714285714164</v>
      </c>
      <c r="G34" s="5">
        <v>3.9285714285714164</v>
      </c>
      <c r="H34" s="5">
        <v>15.43367346938766</v>
      </c>
      <c r="I34" s="5">
        <v>2.8061224489795832E-2</v>
      </c>
    </row>
    <row r="35" spans="1:9" x14ac:dyDescent="0.25">
      <c r="A35" s="26"/>
      <c r="B35" s="1" t="s">
        <v>26</v>
      </c>
      <c r="C35" s="4">
        <f>Data!C35</f>
        <v>148</v>
      </c>
      <c r="D35" s="4">
        <v>34</v>
      </c>
      <c r="E35" s="5">
        <v>134.42857142857142</v>
      </c>
      <c r="F35" s="5">
        <v>-13.571428571428584</v>
      </c>
      <c r="G35" s="5">
        <v>13.571428571428584</v>
      </c>
      <c r="H35" s="5">
        <v>184.18367346938808</v>
      </c>
      <c r="I35" s="5">
        <v>9.1698841698841779E-2</v>
      </c>
    </row>
    <row r="36" spans="1:9" x14ac:dyDescent="0.25">
      <c r="A36" s="26"/>
      <c r="B36" s="1" t="s">
        <v>27</v>
      </c>
      <c r="C36" s="4">
        <f>Data!C36</f>
        <v>125</v>
      </c>
      <c r="D36" s="4">
        <v>35</v>
      </c>
      <c r="E36" s="5">
        <v>119.5</v>
      </c>
      <c r="F36" s="5">
        <v>-5.5</v>
      </c>
      <c r="G36" s="5">
        <v>5.5</v>
      </c>
      <c r="H36" s="5">
        <v>30.25</v>
      </c>
      <c r="I36" s="5">
        <v>4.3999999999999997E-2</v>
      </c>
    </row>
    <row r="37" spans="1:9" x14ac:dyDescent="0.25">
      <c r="A37" s="26"/>
      <c r="B37" s="1" t="s">
        <v>28</v>
      </c>
      <c r="C37" s="4">
        <f>Data!C37</f>
        <v>83</v>
      </c>
      <c r="D37" s="4">
        <v>36</v>
      </c>
      <c r="E37" s="5">
        <v>118.92857142857143</v>
      </c>
      <c r="F37" s="5">
        <v>35.928571428571431</v>
      </c>
      <c r="G37" s="5">
        <v>35.928571428571431</v>
      </c>
      <c r="H37" s="5">
        <v>1290.8622448979593</v>
      </c>
      <c r="I37" s="5">
        <v>0.43287435456110157</v>
      </c>
    </row>
    <row r="38" spans="1:9" x14ac:dyDescent="0.25">
      <c r="A38" s="26" t="s">
        <v>31</v>
      </c>
      <c r="B38" s="1" t="s">
        <v>14</v>
      </c>
      <c r="C38" s="4">
        <f>Data!C38</f>
        <v>238</v>
      </c>
      <c r="D38" s="4">
        <v>37</v>
      </c>
      <c r="E38" s="5">
        <v>113.35714285714286</v>
      </c>
      <c r="F38" s="5">
        <v>-124.64285714285714</v>
      </c>
      <c r="G38" s="5">
        <v>124.64285714285714</v>
      </c>
      <c r="H38" s="5">
        <v>15535.841836734693</v>
      </c>
      <c r="I38" s="5">
        <v>0.52370948379351734</v>
      </c>
    </row>
    <row r="39" spans="1:9" x14ac:dyDescent="0.25">
      <c r="A39" s="26"/>
      <c r="B39" s="1" t="s">
        <v>18</v>
      </c>
      <c r="C39" s="4">
        <f>Data!C39</f>
        <v>136</v>
      </c>
      <c r="D39" s="4">
        <v>38</v>
      </c>
      <c r="E39" s="5">
        <v>119.14285714285714</v>
      </c>
      <c r="F39" s="5">
        <v>-16.857142857142861</v>
      </c>
      <c r="G39" s="5">
        <v>16.857142857142861</v>
      </c>
      <c r="H39" s="5">
        <v>284.16326530612258</v>
      </c>
      <c r="I39" s="5">
        <v>0.1239495798319328</v>
      </c>
    </row>
    <row r="40" spans="1:9" x14ac:dyDescent="0.25">
      <c r="A40" s="26"/>
      <c r="B40" s="1" t="s">
        <v>19</v>
      </c>
      <c r="C40" s="4">
        <f>Data!C40</f>
        <v>42</v>
      </c>
      <c r="D40" s="4">
        <v>39</v>
      </c>
      <c r="E40" s="5">
        <v>125.21428571428571</v>
      </c>
      <c r="F40" s="5">
        <v>83.214285714285708</v>
      </c>
      <c r="G40" s="5">
        <v>83.214285714285708</v>
      </c>
      <c r="H40" s="5">
        <v>6924.6173469387741</v>
      </c>
      <c r="I40" s="5">
        <v>1.9812925170068025</v>
      </c>
    </row>
    <row r="41" spans="1:9" x14ac:dyDescent="0.25">
      <c r="A41" s="26"/>
      <c r="B41" s="1" t="s">
        <v>20</v>
      </c>
      <c r="C41" s="4">
        <f>Data!C41</f>
        <v>70</v>
      </c>
      <c r="D41" s="4">
        <v>40</v>
      </c>
      <c r="E41" s="5">
        <v>118.21428571428571</v>
      </c>
      <c r="F41" s="5">
        <v>48.214285714285708</v>
      </c>
      <c r="G41" s="5">
        <v>48.214285714285708</v>
      </c>
      <c r="H41" s="5">
        <v>2324.617346938775</v>
      </c>
      <c r="I41" s="5">
        <v>0.68877551020408156</v>
      </c>
    </row>
    <row r="42" spans="1:9" x14ac:dyDescent="0.25">
      <c r="A42" s="26"/>
      <c r="B42" s="1" t="s">
        <v>21</v>
      </c>
      <c r="C42" s="4">
        <f>Data!C42</f>
        <v>64</v>
      </c>
      <c r="D42" s="4">
        <v>41</v>
      </c>
      <c r="E42" s="5">
        <v>115.71428571428571</v>
      </c>
      <c r="F42" s="5">
        <v>51.714285714285708</v>
      </c>
      <c r="G42" s="5">
        <v>51.714285714285708</v>
      </c>
      <c r="H42" s="5">
        <v>2674.367346938775</v>
      </c>
      <c r="I42" s="5">
        <v>0.80803571428571419</v>
      </c>
    </row>
    <row r="43" spans="1:9" x14ac:dyDescent="0.25">
      <c r="A43" s="26"/>
      <c r="B43" s="1" t="s">
        <v>22</v>
      </c>
      <c r="C43" s="4">
        <f>Data!C43</f>
        <v>66</v>
      </c>
      <c r="D43" s="4">
        <v>42</v>
      </c>
      <c r="E43" s="5">
        <v>109.78571428571429</v>
      </c>
      <c r="F43" s="5">
        <v>43.785714285714292</v>
      </c>
      <c r="G43" s="5">
        <v>43.785714285714292</v>
      </c>
      <c r="H43" s="5">
        <v>1917.1887755102046</v>
      </c>
      <c r="I43" s="5">
        <v>0.66341991341991347</v>
      </c>
    </row>
    <row r="44" spans="1:9" x14ac:dyDescent="0.25">
      <c r="A44" s="26"/>
      <c r="B44" s="1" t="s">
        <v>23</v>
      </c>
      <c r="C44" s="4">
        <f>Data!C44</f>
        <v>215</v>
      </c>
      <c r="D44" s="4">
        <v>43</v>
      </c>
      <c r="E44" s="5">
        <v>108.21428571428571</v>
      </c>
      <c r="F44" s="5">
        <v>-106.78571428571429</v>
      </c>
      <c r="G44" s="5">
        <v>106.78571428571429</v>
      </c>
      <c r="H44" s="5">
        <v>11403.188775510205</v>
      </c>
      <c r="I44" s="5">
        <v>0.49667774086378741</v>
      </c>
    </row>
    <row r="45" spans="1:9" x14ac:dyDescent="0.25">
      <c r="A45" s="26"/>
      <c r="B45" s="1" t="s">
        <v>24</v>
      </c>
      <c r="C45" s="4">
        <f>Data!C45</f>
        <v>242</v>
      </c>
      <c r="D45" s="4">
        <v>44</v>
      </c>
      <c r="E45" s="5">
        <v>117.64285714285714</v>
      </c>
      <c r="F45" s="5">
        <v>-124.35714285714286</v>
      </c>
      <c r="G45" s="5">
        <v>124.35714285714286</v>
      </c>
      <c r="H45" s="5">
        <v>15464.698979591838</v>
      </c>
      <c r="I45" s="5">
        <v>0.51387249114521838</v>
      </c>
    </row>
    <row r="46" spans="1:9" x14ac:dyDescent="0.25">
      <c r="A46" s="26"/>
      <c r="B46" s="1" t="s">
        <v>25</v>
      </c>
      <c r="C46" s="4">
        <f>Data!C46</f>
        <v>209</v>
      </c>
      <c r="D46" s="4">
        <v>45</v>
      </c>
      <c r="E46" s="5">
        <v>129.42857142857142</v>
      </c>
      <c r="F46" s="5">
        <v>-79.571428571428584</v>
      </c>
      <c r="G46" s="5">
        <v>79.571428571428584</v>
      </c>
      <c r="H46" s="5">
        <v>6331.6122448979613</v>
      </c>
      <c r="I46" s="5">
        <v>0.38072453861927552</v>
      </c>
    </row>
    <row r="47" spans="1:9" x14ac:dyDescent="0.25">
      <c r="A47" s="26"/>
      <c r="B47" s="1" t="s">
        <v>26</v>
      </c>
      <c r="C47" s="4">
        <f>Data!C47</f>
        <v>106</v>
      </c>
      <c r="D47" s="4">
        <v>46</v>
      </c>
      <c r="E47" s="5">
        <v>138</v>
      </c>
      <c r="F47" s="5">
        <v>32</v>
      </c>
      <c r="G47" s="5">
        <v>32</v>
      </c>
      <c r="H47" s="5">
        <v>1024</v>
      </c>
      <c r="I47" s="5">
        <v>0.30188679245283018</v>
      </c>
    </row>
    <row r="48" spans="1:9" x14ac:dyDescent="0.25">
      <c r="A48" s="26"/>
      <c r="B48" s="1" t="s">
        <v>27</v>
      </c>
      <c r="C48" s="4">
        <f>Data!C48</f>
        <v>166</v>
      </c>
      <c r="D48" s="4">
        <v>47</v>
      </c>
      <c r="E48" s="5">
        <v>134.57142857142858</v>
      </c>
      <c r="F48" s="5">
        <v>-31.428571428571416</v>
      </c>
      <c r="G48" s="5">
        <v>31.428571428571416</v>
      </c>
      <c r="H48" s="5">
        <v>987.75510204081559</v>
      </c>
      <c r="I48" s="5">
        <v>0.18932874354561094</v>
      </c>
    </row>
    <row r="49" spans="1:9" x14ac:dyDescent="0.25">
      <c r="A49" s="26"/>
      <c r="B49" s="1" t="s">
        <v>28</v>
      </c>
      <c r="C49" s="4">
        <f>Data!C49</f>
        <v>97</v>
      </c>
      <c r="D49" s="4">
        <v>48</v>
      </c>
      <c r="E49" s="5">
        <v>136.42857142857142</v>
      </c>
      <c r="F49" s="5">
        <v>39.428571428571416</v>
      </c>
      <c r="G49" s="5">
        <v>39.428571428571416</v>
      </c>
      <c r="H49" s="5">
        <v>1554.6122448979581</v>
      </c>
      <c r="I49" s="5">
        <v>0.40648011782032389</v>
      </c>
    </row>
    <row r="50" spans="1:9" x14ac:dyDescent="0.25">
      <c r="A50" s="26" t="s">
        <v>32</v>
      </c>
      <c r="B50" s="1" t="s">
        <v>14</v>
      </c>
      <c r="C50" s="4">
        <f>Data!C50</f>
        <v>96</v>
      </c>
      <c r="D50" s="4">
        <v>49</v>
      </c>
      <c r="E50" s="5">
        <v>132.78571428571428</v>
      </c>
      <c r="F50" s="5">
        <v>36.785714285714278</v>
      </c>
      <c r="G50" s="5">
        <v>36.785714285714278</v>
      </c>
      <c r="H50" s="5">
        <v>1353.1887755102034</v>
      </c>
      <c r="I50" s="5">
        <v>0.38318452380952372</v>
      </c>
    </row>
    <row r="51" spans="1:9" x14ac:dyDescent="0.25">
      <c r="A51" s="26"/>
      <c r="B51" s="1" t="s">
        <v>18</v>
      </c>
      <c r="C51" s="4">
        <f>Data!C51</f>
        <v>129</v>
      </c>
      <c r="D51" s="4">
        <v>50</v>
      </c>
      <c r="E51" s="5">
        <v>130.71428571428572</v>
      </c>
      <c r="F51" s="5">
        <v>1.7142857142857224</v>
      </c>
      <c r="G51" s="5">
        <v>1.7142857142857224</v>
      </c>
      <c r="H51" s="5">
        <v>2.9387755102041093</v>
      </c>
      <c r="I51" s="5">
        <v>1.3289036544850561E-2</v>
      </c>
    </row>
    <row r="52" spans="1:9" x14ac:dyDescent="0.25">
      <c r="A52" s="26"/>
      <c r="B52" s="1" t="s">
        <v>19</v>
      </c>
      <c r="C52" s="4">
        <f>Data!C52</f>
        <v>71</v>
      </c>
      <c r="D52" s="4">
        <v>51</v>
      </c>
      <c r="E52" s="5">
        <v>134</v>
      </c>
      <c r="F52" s="5">
        <v>63</v>
      </c>
      <c r="G52" s="5">
        <v>63</v>
      </c>
      <c r="H52" s="5">
        <v>3969</v>
      </c>
      <c r="I52" s="5">
        <v>0.88732394366197187</v>
      </c>
    </row>
    <row r="53" spans="1:9" x14ac:dyDescent="0.25">
      <c r="A53" s="26"/>
      <c r="B53" s="1" t="s">
        <v>20</v>
      </c>
      <c r="C53" s="4">
        <f>Data!C53</f>
        <v>99</v>
      </c>
      <c r="D53" s="4">
        <v>52</v>
      </c>
      <c r="E53" s="5">
        <v>122.07142857142857</v>
      </c>
      <c r="F53" s="5">
        <v>23.071428571428569</v>
      </c>
      <c r="G53" s="5">
        <v>23.071428571428569</v>
      </c>
      <c r="H53" s="5">
        <v>532.29081632653049</v>
      </c>
      <c r="I53" s="5">
        <v>0.23304473304473303</v>
      </c>
    </row>
    <row r="54" spans="1:9" x14ac:dyDescent="0.25">
      <c r="A54" s="26"/>
      <c r="B54" s="1" t="s">
        <v>21</v>
      </c>
      <c r="C54" s="4">
        <f>Data!C54</f>
        <v>98</v>
      </c>
      <c r="D54" s="4">
        <v>53</v>
      </c>
      <c r="E54" s="5">
        <v>119.42857142857143</v>
      </c>
      <c r="F54" s="5">
        <v>21.428571428571431</v>
      </c>
      <c r="G54" s="5">
        <v>21.428571428571431</v>
      </c>
      <c r="H54" s="5">
        <v>459.18367346938783</v>
      </c>
      <c r="I54" s="5">
        <v>0.21865889212827991</v>
      </c>
    </row>
    <row r="55" spans="1:9" x14ac:dyDescent="0.25">
      <c r="A55" s="26"/>
      <c r="B55" s="1" t="s">
        <v>22</v>
      </c>
      <c r="C55" s="4">
        <f>Data!C55</f>
        <v>139</v>
      </c>
      <c r="D55" s="4">
        <v>54</v>
      </c>
      <c r="E55" s="5">
        <v>123.42857142857143</v>
      </c>
      <c r="F55" s="5">
        <v>-15.571428571428569</v>
      </c>
      <c r="G55" s="5">
        <v>15.571428571428569</v>
      </c>
      <c r="H55" s="5">
        <v>242.46938775510199</v>
      </c>
      <c r="I55" s="5">
        <v>0.1120246659815005</v>
      </c>
    </row>
    <row r="56" spans="1:9" x14ac:dyDescent="0.25">
      <c r="A56" s="26"/>
      <c r="B56" s="1" t="s">
        <v>23</v>
      </c>
      <c r="C56" s="4">
        <f>Data!C56</f>
        <v>90</v>
      </c>
      <c r="D56" s="4">
        <v>55</v>
      </c>
      <c r="E56" s="5">
        <v>128.35714285714286</v>
      </c>
      <c r="F56" s="5">
        <v>38.357142857142861</v>
      </c>
      <c r="G56" s="5">
        <v>38.357142857142861</v>
      </c>
      <c r="H56" s="5">
        <v>1471.2704081632655</v>
      </c>
      <c r="I56" s="5">
        <v>0.42619047619047623</v>
      </c>
    </row>
    <row r="57" spans="1:9" x14ac:dyDescent="0.25">
      <c r="A57" s="26"/>
      <c r="B57" s="1" t="s">
        <v>24</v>
      </c>
      <c r="C57" s="4">
        <f>Data!C57</f>
        <v>219</v>
      </c>
      <c r="D57" s="4">
        <v>56</v>
      </c>
      <c r="E57" s="5">
        <v>130.21428571428572</v>
      </c>
      <c r="F57" s="5">
        <v>-88.785714285714278</v>
      </c>
      <c r="G57" s="5">
        <v>88.785714285714278</v>
      </c>
      <c r="H57" s="5">
        <v>7882.9030612244887</v>
      </c>
      <c r="I57" s="5">
        <v>0.40541422048271358</v>
      </c>
    </row>
    <row r="58" spans="1:9" x14ac:dyDescent="0.25">
      <c r="A58" s="26"/>
      <c r="B58" s="1" t="s">
        <v>25</v>
      </c>
      <c r="C58" s="4">
        <f>Data!C58</f>
        <v>206</v>
      </c>
      <c r="D58" s="4">
        <v>57</v>
      </c>
      <c r="E58" s="5">
        <v>141.14285714285714</v>
      </c>
      <c r="F58" s="5">
        <v>-64.857142857142861</v>
      </c>
      <c r="G58" s="5">
        <v>64.857142857142861</v>
      </c>
      <c r="H58" s="5">
        <v>4206.4489795918371</v>
      </c>
      <c r="I58" s="5">
        <v>0.31484049930651875</v>
      </c>
    </row>
    <row r="59" spans="1:9" x14ac:dyDescent="0.25">
      <c r="A59" s="26"/>
      <c r="B59" s="1" t="s">
        <v>26</v>
      </c>
      <c r="C59" s="4">
        <f>Data!C59</f>
        <v>186</v>
      </c>
      <c r="D59" s="4">
        <v>58</v>
      </c>
      <c r="E59" s="5"/>
      <c r="F59" s="5"/>
      <c r="G59" s="5"/>
      <c r="H59" s="5"/>
      <c r="I59" s="5"/>
    </row>
    <row r="60" spans="1:9" x14ac:dyDescent="0.25">
      <c r="A60" s="26"/>
      <c r="B60" s="1" t="s">
        <v>27</v>
      </c>
      <c r="C60" s="4">
        <f>Data!C60</f>
        <v>140</v>
      </c>
      <c r="D60" s="4">
        <v>59</v>
      </c>
      <c r="E60" s="5"/>
      <c r="F60" s="5"/>
      <c r="G60" s="5"/>
      <c r="H60" s="5"/>
      <c r="I60" s="5"/>
    </row>
    <row r="61" spans="1:9" x14ac:dyDescent="0.25">
      <c r="A61" s="26"/>
      <c r="B61" s="1" t="s">
        <v>28</v>
      </c>
      <c r="C61" s="4">
        <f>Data!C61</f>
        <v>61</v>
      </c>
      <c r="D61" s="4">
        <v>60</v>
      </c>
      <c r="E61" s="5"/>
      <c r="F61" s="5"/>
      <c r="G61" s="5"/>
      <c r="H61" s="5"/>
      <c r="I61" s="5"/>
    </row>
  </sheetData>
  <sheetProtection algorithmName="SHA-512" hashValue="qimi9L5+m4dnMRTtH3rdLqpU1GI4fXjTx9vRaPW7iXCaTShpYyz9VN/e+c4POcNYxTbTWW4+vC+vK9WpqIkxkw==" saltValue="c+f3Tdmp7Are89I69reWNQ==" spinCount="100000" sheet="1" objects="1" scenarios="1"/>
  <mergeCells count="5">
    <mergeCell ref="A2:A13"/>
    <mergeCell ref="A14:A25"/>
    <mergeCell ref="A26:A37"/>
    <mergeCell ref="A38:A49"/>
    <mergeCell ref="A50:A6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93FD7-D579-4FA0-B2E3-327A60E1B095}">
  <sheetPr codeName="Sheet4"/>
  <dimension ref="A1"/>
  <sheetViews>
    <sheetView showGridLines="0" showRowColHeaders="0" tabSelected="1" workbookViewId="0">
      <selection sqref="A1:XFD1048576"/>
    </sheetView>
  </sheetViews>
  <sheetFormatPr defaultRowHeight="15" x14ac:dyDescent="0.25"/>
  <cols>
    <col min="1" max="16384" width="9.140625" style="28"/>
  </cols>
  <sheetData/>
  <mergeCells count="1">
    <mergeCell ref="A1:XFD104857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276225</xdr:colOff>
                <xdr:row>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424BD-4DC4-4B76-A41A-7C8AA609AA5E}">
  <sheetPr codeName="Sheet32"/>
  <dimension ref="A1"/>
  <sheetViews>
    <sheetView topLeftCell="E1" workbookViewId="0">
      <selection activeCell="L18" sqref="L18"/>
    </sheetView>
  </sheetViews>
  <sheetFormatPr defaultRowHeight="15" x14ac:dyDescent="0.25"/>
  <sheetData/>
  <sheetProtection algorithmName="SHA-512" hashValue="qI4uyboqws9wJobLRPJl1Vun3KLAkggT5BKprKJyebSNi9f+F4/g5JHlbuz27Ngvfjozi9OOK+hhpYYRxNVIJw==" saltValue="mWpfrvDPHGAVBTTYlQXHMA==" spinCount="100000" sheet="1" objects="1" scenario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03044-1F14-48F8-B4BA-49B467DDD99D}">
  <sheetPr codeName="Sheet10"/>
  <dimension ref="A1"/>
  <sheetViews>
    <sheetView topLeftCell="B1" workbookViewId="0">
      <selection activeCell="N19" sqref="N19"/>
    </sheetView>
  </sheetViews>
  <sheetFormatPr defaultRowHeight="15" x14ac:dyDescent="0.25"/>
  <sheetData/>
  <sheetProtection algorithmName="SHA-512" hashValue="M00vdalSIL6pbocsN+ZveYNQoyExujGja2yZLQC67QlQVMN82sKQ2SKuA5s+HIOunot2D/qZmR++hDA29M4x6w==" saltValue="fY/a/b9l+hCRm0R9NDekLA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418A4-13E7-4021-99F5-578BA6715937}">
  <sheetPr codeName="Sheet13"/>
  <dimension ref="A1"/>
  <sheetViews>
    <sheetView topLeftCell="D1" workbookViewId="0">
      <selection activeCell="L1" sqref="L1"/>
    </sheetView>
  </sheetViews>
  <sheetFormatPr defaultRowHeight="15" x14ac:dyDescent="0.25"/>
  <sheetData/>
  <sheetProtection algorithmName="SHA-512" hashValue="zdB+9TdVlnaLQ7BnAG3vGAGyICEz/ImG+kyBnw2fmAhnYm+mpxPn51T0ZwB4w0dkTHVtboWpZOGdy9lGExPT8g==" saltValue="GkL7Gnm9sVGLa7AeCVHFtA==" spinCount="100000" sheet="1" objects="1" scenarios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8120-3F6B-4CFD-AE6F-BDFB1C63A873}">
  <sheetPr codeName="Sheet27"/>
  <dimension ref="A1"/>
  <sheetViews>
    <sheetView showGridLines="0" workbookViewId="0"/>
  </sheetViews>
  <sheetFormatPr defaultRowHeight="15" x14ac:dyDescent="0.25"/>
  <sheetData/>
  <sheetProtection algorithmName="SHA-512" hashValue="JbdDKC3/qvzonhc866fI+AYIB8aB97pMazjJmRGevELvnWLb+ftNR2xH3fnNzNk7/h05aNXa21WW8Q6422RljQ==" saltValue="4r1FSYVZI0tCeXez3ssD/Q==" spinCount="100000" sheet="1" objects="1" scenarios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5BA40-06D7-46DF-9A82-4E92BE96BAF9}">
  <sheetPr codeName="Sheet28"/>
  <dimension ref="A1"/>
  <sheetViews>
    <sheetView workbookViewId="0">
      <selection activeCell="L2" sqref="L2"/>
    </sheetView>
  </sheetViews>
  <sheetFormatPr defaultRowHeight="15" x14ac:dyDescent="0.25"/>
  <sheetData/>
  <sheetProtection algorithmName="SHA-512" hashValue="y/z9vtwK/nuaqNmmGxARqDKfOJe6ujm2v2eaAFhpFcjcbmqnkdYBvOmmt8sm6znZ4/8BASmmh/Kzv97Re9Szgg==" saltValue="RFryHDSECQlXTGJM2g4e7g==" spinCount="100000" sheet="1" objects="1" scenario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217B8-1480-4EBF-B1E5-E22406F633F6}">
  <sheetPr codeName="Sheet22"/>
  <dimension ref="A1"/>
  <sheetViews>
    <sheetView showRowColHeaders="0" workbookViewId="0">
      <selection activeCell="O17" sqref="O17"/>
    </sheetView>
  </sheetViews>
  <sheetFormatPr defaultRowHeight="15" x14ac:dyDescent="0.25"/>
  <sheetData/>
  <sheetProtection algorithmName="SHA-512" hashValue="UiRt9p5bSSBGFN0d4p+M2Pq0BvW97p+j+yzllF6m2N3ckl0V/XGnPzHSj4Ttzy3Bb13cjBlJzM/Nvo7q4o1wAA==" saltValue="OoXe4bEC6heneZZ7rL5+Og==" spinCount="100000" sheet="1" objects="1" scenarios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BA48C-C5D5-4B76-BAB4-F1075F7B9957}">
  <sheetPr codeName="Sheet23"/>
  <dimension ref="A1"/>
  <sheetViews>
    <sheetView workbookViewId="0">
      <selection activeCell="M17" sqref="M17"/>
    </sheetView>
  </sheetViews>
  <sheetFormatPr defaultRowHeight="15" x14ac:dyDescent="0.25"/>
  <sheetData/>
  <sheetProtection algorithmName="SHA-512" hashValue="fO/YLSSAGJrv/xW5K1CwRItLIMgQmpsHlDC7v0mp1+THwj4VtJSqUZX1rwipZJLip28IjHPPljWESHT27VpPCw==" saltValue="lfTV7t3W3XVIFRrYFf3LlQ==" spinCount="100000" sheet="1" objects="1" scenario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99B14-2513-4869-8B1C-844A8A9DD0B9}">
  <sheetPr codeName="Sheet14"/>
  <dimension ref="A1"/>
  <sheetViews>
    <sheetView workbookViewId="0">
      <selection activeCell="L1" sqref="L1"/>
    </sheetView>
  </sheetViews>
  <sheetFormatPr defaultRowHeight="15" x14ac:dyDescent="0.25"/>
  <sheetData/>
  <sheetProtection algorithmName="SHA-512" hashValue="LzTHmYm7wsjI2NrkiSb8ww694tNQd210iB3q5sB+RvcQBIovEpKrk77DJZrFL/zYHRe3dKPhBOxDlizhhxsp3A==" saltValue="MNQCK29JoSdF7d0HBuuQeQ==" spinCount="100000" sheet="1" objects="1" scenarios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B402B-E8F8-4023-A909-79855243627F}">
  <sheetPr codeName="Sheet15"/>
  <dimension ref="A1"/>
  <sheetViews>
    <sheetView workbookViewId="0">
      <selection activeCell="S8" sqref="S8"/>
    </sheetView>
  </sheetViews>
  <sheetFormatPr defaultRowHeight="15" x14ac:dyDescent="0.25"/>
  <sheetData/>
  <sheetProtection algorithmName="SHA-512" hashValue="dzhnLr1wLzPtgzY+TRFJGhmPoyh6aOia6ytQ73+bKw5uOo4entpJH2EpTeqt4O0A5hXXb44o1FDi1uyDJ+a07w==" saltValue="S5yP0xu/0fLcMlgg9C7etw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2E543-F42C-4131-98E9-C594AEF09B18}">
  <sheetPr codeName="Sheet34"/>
  <dimension ref="A1"/>
  <sheetViews>
    <sheetView workbookViewId="0">
      <selection activeCell="N19" sqref="N19"/>
    </sheetView>
  </sheetViews>
  <sheetFormatPr defaultRowHeight="15" x14ac:dyDescent="0.25"/>
  <sheetData/>
  <sheetProtection algorithmName="SHA-512" hashValue="lIItSDQz8yyRgMF0RqKm/g5TkyidM28VWZxHqIk6EuYUarGXWD1EBNeCQUbrl2QGa69LnE1n6pz5XETKR7wp/w==" saltValue="1l2TPtvlm2KPqbC4X1hKMA==" spinCount="100000" sheet="1" objects="1" scenarios="1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707B-EA83-4F42-BC9D-CDACB90C9CC6}">
  <sheetPr codeName="Sheet29"/>
  <dimension ref="A1"/>
  <sheetViews>
    <sheetView workbookViewId="0">
      <selection activeCell="N19" sqref="N19"/>
    </sheetView>
  </sheetViews>
  <sheetFormatPr defaultRowHeight="15" x14ac:dyDescent="0.25"/>
  <sheetData/>
  <sheetProtection algorithmName="SHA-512" hashValue="Sk1MPjz+1dr5YojzQ7TQBFdshKdzb6fsYvGXqm9h9Z5PbO4aej4woKxwsxGDPYv9a141eUwSXQLaE3Lq7Sqfsw==" saltValue="8iYlfjPFzwzmP8BlzWbtCg==" spinCount="100000" sheet="1" objects="1" scenarios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2361E-A523-4CC9-9CB7-5C9DE71FA269}">
  <sheetPr codeName="Sheet36"/>
  <dimension ref="A1"/>
  <sheetViews>
    <sheetView workbookViewId="0">
      <selection activeCell="N19" sqref="N19"/>
    </sheetView>
  </sheetViews>
  <sheetFormatPr defaultRowHeight="15" x14ac:dyDescent="0.25"/>
  <sheetData/>
  <sheetProtection algorithmName="SHA-512" hashValue="DMsw2Sko+oDWxroHiJznpBSdN/H6MldjevKImwX+U5v8KJLLhQS2qxfySR6nwphDzS7NuaDPHtZ/ZaHfXyR1Pg==" saltValue="fTy5GljYauTlgUo5xCLiVg==" spinCount="100000" sheet="1" objects="1" scenarios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EDB2F-A31F-4301-A404-936B3F50921F}">
  <sheetPr codeName="Sheet37"/>
  <dimension ref="A1"/>
  <sheetViews>
    <sheetView topLeftCell="F1" workbookViewId="0">
      <selection activeCell="L19" sqref="L19"/>
    </sheetView>
  </sheetViews>
  <sheetFormatPr defaultRowHeight="15" x14ac:dyDescent="0.25"/>
  <sheetData/>
  <sheetProtection algorithmName="SHA-512" hashValue="kTHFAclFu0MC3L4X1rI6hYC2tTx7p05Hk6zEF1hBnbBjP0hT94S0qqaUsZA9ONSkXetPlgjTK0RV4rLQL8Mw8w==" saltValue="Lut+e1aUDv87kNL76CwKyA==" spinCount="100000" sheet="1" objects="1" scenarios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3258B-9330-4DE9-A9DC-FAC2DF55BB68}">
  <sheetPr codeName="Sheet35"/>
  <dimension ref="A1"/>
  <sheetViews>
    <sheetView topLeftCell="H1" workbookViewId="0">
      <selection activeCell="N19" sqref="N19"/>
    </sheetView>
  </sheetViews>
  <sheetFormatPr defaultRowHeight="15" x14ac:dyDescent="0.25"/>
  <sheetData/>
  <sheetProtection algorithmName="SHA-512" hashValue="SdSdhEONqEYnV0mbNlnE6w87UeITIrVmkMPLJebImD3H6evcO9tMcfQ1mYvk0TC8lcMyWNakyEZWROwJd3BvNg==" saltValue="RB8C4nu6/U8A347edHoKbQ==" spinCount="100000" sheet="1" objects="1" scenarios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D3DCC-2529-40C5-A715-6601B6CF4232}">
  <sheetPr codeName="Sheet16"/>
  <dimension ref="A1"/>
  <sheetViews>
    <sheetView workbookViewId="0">
      <selection activeCell="N19" sqref="N19"/>
    </sheetView>
  </sheetViews>
  <sheetFormatPr defaultRowHeight="15" x14ac:dyDescent="0.25"/>
  <sheetData/>
  <sheetProtection algorithmName="SHA-512" hashValue="Aes93WmASHAUojq3+vuGIBZAomaU5x9Ti+8FI5ZjP0VXguNDBjdzVi5bASDMRMFvoiqlKM5tnMCFBLQkRhCFdw==" saltValue="qHvNl5qz0qh3Q+iZ8CP7iA==" spinCount="100000" sheet="1" objects="1" scenarios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F601-5FD2-4B1C-804E-AD6AB74920F3}">
  <sheetPr codeName="Sheet17"/>
  <dimension ref="A1"/>
  <sheetViews>
    <sheetView workbookViewId="0">
      <selection activeCell="N19" sqref="N19"/>
    </sheetView>
  </sheetViews>
  <sheetFormatPr defaultRowHeight="15" x14ac:dyDescent="0.25"/>
  <sheetData/>
  <sheetProtection algorithmName="SHA-512" hashValue="ZS1lwFz+vMprwKC0Ppf1LYR7GB2ms8DsZ6XfJ96jF632KmgXDjRy2rQiDJZqZ0OzptD6mfCGi0zTfIsJAHJOJQ==" saltValue="evKPvIxzVBqTxz9RWSU4Cg==" spinCount="100000" sheet="1" objects="1" scenarios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04481-4DF9-4F1F-85A8-1C643C9ADE98}">
  <sheetPr codeName="Sheet18"/>
  <dimension ref="A1"/>
  <sheetViews>
    <sheetView workbookViewId="0">
      <selection activeCell="N19" sqref="N19"/>
    </sheetView>
  </sheetViews>
  <sheetFormatPr defaultRowHeight="15" x14ac:dyDescent="0.25"/>
  <sheetData/>
  <sheetProtection algorithmName="SHA-512" hashValue="8U3VGdqEuX8EM3W4NgohTfmXz6efxRtVXuLJOYCLzHMP7ZheVFXuUxXiLDB7O0upwZP01cwL7yl5pWdvczGUfA==" saltValue="nq7zuknmSaqH6IxadPEopg==" spinCount="100000" sheet="1" objects="1" scenarios="1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39A73-3AC3-47C1-B984-7E016EED5210}">
  <sheetPr codeName="Sheet19"/>
  <dimension ref="A1"/>
  <sheetViews>
    <sheetView workbookViewId="0">
      <selection activeCell="N19" sqref="N19"/>
    </sheetView>
  </sheetViews>
  <sheetFormatPr defaultRowHeight="15" x14ac:dyDescent="0.25"/>
  <sheetData/>
  <sheetProtection algorithmName="SHA-512" hashValue="Pt/QjH2lCQD0uGYKIMpGRLCl7fregWwJdhwvStn94UxsN2RD6XVLcYtjYdn8SRekLkKplDTbkdUAQ9VUlvijZA==" saltValue="SLso1ERt+3DSC0RaY3zoYQ==" spinCount="100000" sheet="1" objects="1" scenarios="1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098F0-4F82-4A59-AF1D-E006A0F5F2AF}">
  <sheetPr codeName="Sheet20"/>
  <dimension ref="A1"/>
  <sheetViews>
    <sheetView workbookViewId="0">
      <selection activeCell="N19" sqref="N19"/>
    </sheetView>
  </sheetViews>
  <sheetFormatPr defaultRowHeight="15" x14ac:dyDescent="0.25"/>
  <sheetData/>
  <sheetProtection algorithmName="SHA-512" hashValue="BAPTBp8uLFKoJcvGJZdkfnDWdG6fbR+XYIgAAvOWn30WLmIn2uc/LLRcHtPRAaMd4ZqvFO+++EfrVZKjCAcYRQ==" saltValue="w04JAfiW0MlS/d0cqrKiUQ==" spinCount="100000" sheet="1" objects="1" scenarios="1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5CB5-19F0-444C-B7E0-190436A9147B}">
  <sheetPr codeName="Sheet21"/>
  <dimension ref="A1"/>
  <sheetViews>
    <sheetView workbookViewId="0">
      <selection activeCell="N19" sqref="N19"/>
    </sheetView>
  </sheetViews>
  <sheetFormatPr defaultRowHeight="15" x14ac:dyDescent="0.25"/>
  <sheetData/>
  <sheetProtection algorithmName="SHA-512" hashValue="vbO4xHo3qkCrhEEcSElOSYyAqzWkcUM5DjFhLZ6bxNfEQz5XgIQBrOiZPMkQX/6KKotdwOm97aFywObRrLCa1w==" saltValue="PrFn+OxOi9iD+2aA83DdyA==" spinCount="100000" sheet="1" objects="1" scenarios="1"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760A9-F8D7-4D3F-9398-98910CFE614A}">
  <sheetPr codeName="Sheet9"/>
  <dimension ref="A1:I70"/>
  <sheetViews>
    <sheetView workbookViewId="0">
      <selection activeCell="D9" sqref="D9"/>
    </sheetView>
  </sheetViews>
  <sheetFormatPr defaultRowHeight="15" x14ac:dyDescent="0.25"/>
  <cols>
    <col min="1" max="4" width="16.42578125" customWidth="1"/>
    <col min="5" max="8" width="9.140625" style="3"/>
    <col min="9" max="9" width="29" style="3" bestFit="1" customWidth="1"/>
  </cols>
  <sheetData>
    <row r="1" spans="1:9" x14ac:dyDescent="0.25">
      <c r="A1" s="4"/>
      <c r="B1" s="4" t="s">
        <v>0</v>
      </c>
      <c r="C1" s="4" t="s">
        <v>2</v>
      </c>
      <c r="D1" s="4" t="s">
        <v>13</v>
      </c>
      <c r="E1" s="5" t="s">
        <v>33</v>
      </c>
      <c r="F1" s="5" t="s">
        <v>34</v>
      </c>
      <c r="G1" s="5" t="s">
        <v>35</v>
      </c>
      <c r="H1" s="5" t="s">
        <v>36</v>
      </c>
      <c r="I1" s="5" t="s">
        <v>37</v>
      </c>
    </row>
    <row r="2" spans="1:9" x14ac:dyDescent="0.25">
      <c r="A2" s="4" t="s">
        <v>13</v>
      </c>
      <c r="B2" s="4" t="s">
        <v>14</v>
      </c>
      <c r="C2" s="4">
        <v>1</v>
      </c>
      <c r="D2" s="4">
        <f>Data!C2</f>
        <v>40</v>
      </c>
      <c r="E2" s="23"/>
      <c r="F2" s="5"/>
      <c r="G2" s="5"/>
      <c r="H2" s="5"/>
      <c r="I2" s="5"/>
    </row>
    <row r="3" spans="1:9" x14ac:dyDescent="0.25">
      <c r="A3" s="4"/>
      <c r="B3" s="4" t="s">
        <v>18</v>
      </c>
      <c r="C3" s="4">
        <v>2</v>
      </c>
      <c r="D3" s="4">
        <f>Data!C3</f>
        <v>214</v>
      </c>
      <c r="E3" s="23"/>
      <c r="F3" s="5"/>
      <c r="G3" s="5"/>
      <c r="H3" s="5"/>
      <c r="I3" s="5"/>
    </row>
    <row r="4" spans="1:9" x14ac:dyDescent="0.25">
      <c r="A4" s="4"/>
      <c r="B4" s="4" t="s">
        <v>19</v>
      </c>
      <c r="C4" s="4">
        <v>3</v>
      </c>
      <c r="D4" s="4">
        <f>Data!C4</f>
        <v>60</v>
      </c>
      <c r="E4" s="23"/>
      <c r="F4" s="5"/>
      <c r="G4" s="5"/>
      <c r="H4" s="5"/>
      <c r="I4" s="5"/>
    </row>
    <row r="5" spans="1:9" x14ac:dyDescent="0.25">
      <c r="A5" s="4"/>
      <c r="B5" s="4" t="s">
        <v>20</v>
      </c>
      <c r="C5" s="4">
        <v>4</v>
      </c>
      <c r="D5" s="4">
        <f>Data!C5</f>
        <v>138</v>
      </c>
      <c r="E5" s="23"/>
      <c r="F5" s="5"/>
      <c r="G5" s="5"/>
      <c r="H5" s="5"/>
      <c r="I5" s="5"/>
    </row>
    <row r="6" spans="1:9" x14ac:dyDescent="0.25">
      <c r="A6" s="4"/>
      <c r="B6" s="4" t="s">
        <v>21</v>
      </c>
      <c r="C6" s="4">
        <v>5</v>
      </c>
      <c r="D6" s="4">
        <f>Data!C6</f>
        <v>65</v>
      </c>
      <c r="E6" s="23"/>
      <c r="F6" s="5"/>
      <c r="G6" s="5"/>
      <c r="H6" s="5"/>
      <c r="I6" s="5"/>
    </row>
    <row r="7" spans="1:9" x14ac:dyDescent="0.25">
      <c r="A7" s="4"/>
      <c r="B7" s="4" t="s">
        <v>22</v>
      </c>
      <c r="C7" s="4">
        <v>6</v>
      </c>
      <c r="D7" s="4">
        <f>Data!C7</f>
        <v>36</v>
      </c>
      <c r="E7" s="23"/>
      <c r="F7" s="5"/>
      <c r="G7" s="5"/>
      <c r="H7" s="5"/>
      <c r="I7" s="5"/>
    </row>
    <row r="8" spans="1:9" x14ac:dyDescent="0.25">
      <c r="A8" s="4"/>
      <c r="B8" s="4" t="s">
        <v>23</v>
      </c>
      <c r="C8" s="4">
        <v>7</v>
      </c>
      <c r="D8" s="4">
        <f>Data!C8</f>
        <v>267</v>
      </c>
      <c r="E8" s="23"/>
      <c r="F8" s="5"/>
      <c r="G8" s="5"/>
      <c r="H8" s="5"/>
      <c r="I8" s="5"/>
    </row>
    <row r="9" spans="1:9" x14ac:dyDescent="0.25">
      <c r="A9" s="4"/>
      <c r="B9" s="4" t="s">
        <v>24</v>
      </c>
      <c r="C9" s="4">
        <v>8</v>
      </c>
      <c r="D9" s="4">
        <f>Data!C9</f>
        <v>103</v>
      </c>
      <c r="E9" s="23"/>
      <c r="F9" s="5"/>
      <c r="G9" s="5"/>
      <c r="H9" s="5"/>
      <c r="I9" s="5"/>
    </row>
    <row r="10" spans="1:9" x14ac:dyDescent="0.25">
      <c r="A10" s="4"/>
      <c r="B10" s="4" t="s">
        <v>25</v>
      </c>
      <c r="C10" s="4">
        <v>9</v>
      </c>
      <c r="D10" s="4">
        <f>Data!C10</f>
        <v>164</v>
      </c>
      <c r="E10" s="23"/>
      <c r="F10" s="5"/>
      <c r="G10" s="5"/>
      <c r="H10" s="5"/>
      <c r="I10" s="5"/>
    </row>
    <row r="11" spans="1:9" x14ac:dyDescent="0.25">
      <c r="A11" s="4"/>
      <c r="B11" s="4" t="s">
        <v>26</v>
      </c>
      <c r="C11" s="4">
        <v>10</v>
      </c>
      <c r="D11" s="4">
        <f>Data!C11</f>
        <v>232</v>
      </c>
      <c r="E11" s="23"/>
      <c r="F11" s="5"/>
      <c r="G11" s="5"/>
      <c r="H11" s="5"/>
      <c r="I11" s="5"/>
    </row>
    <row r="12" spans="1:9" x14ac:dyDescent="0.25">
      <c r="A12" s="4"/>
      <c r="B12" s="4" t="s">
        <v>27</v>
      </c>
      <c r="C12" s="4">
        <v>11</v>
      </c>
      <c r="D12" s="4">
        <f>Data!C12</f>
        <v>140</v>
      </c>
      <c r="E12" s="23"/>
      <c r="F12" s="5"/>
      <c r="G12" s="5"/>
      <c r="H12" s="5"/>
      <c r="I12" s="5"/>
    </row>
    <row r="13" spans="1:9" x14ac:dyDescent="0.25">
      <c r="A13" s="4"/>
      <c r="B13" s="4" t="s">
        <v>28</v>
      </c>
      <c r="C13" s="4">
        <v>12</v>
      </c>
      <c r="D13" s="4">
        <f>Data!C13</f>
        <v>132</v>
      </c>
      <c r="E13" s="23"/>
      <c r="F13" s="5"/>
      <c r="G13" s="5"/>
      <c r="H13" s="5"/>
      <c r="I13" s="5"/>
    </row>
    <row r="14" spans="1:9" x14ac:dyDescent="0.25">
      <c r="A14" s="4" t="s">
        <v>29</v>
      </c>
      <c r="B14" s="4" t="s">
        <v>14</v>
      </c>
      <c r="C14" s="4">
        <v>13</v>
      </c>
      <c r="D14" s="4">
        <f>Data!C14</f>
        <v>59</v>
      </c>
      <c r="E14" s="23"/>
      <c r="F14" s="5"/>
      <c r="G14" s="5"/>
      <c r="H14" s="5"/>
      <c r="I14" s="5"/>
    </row>
    <row r="15" spans="1:9" x14ac:dyDescent="0.25">
      <c r="A15" s="4"/>
      <c r="B15" s="4" t="s">
        <v>18</v>
      </c>
      <c r="C15" s="4">
        <v>14</v>
      </c>
      <c r="D15" s="4">
        <f>Data!C15</f>
        <v>228</v>
      </c>
      <c r="E15" s="23">
        <v>417.3</v>
      </c>
      <c r="F15" s="5">
        <v>-189.3</v>
      </c>
      <c r="G15" s="5">
        <v>189.3</v>
      </c>
      <c r="H15" s="5">
        <v>35834.490000000005</v>
      </c>
      <c r="I15" s="5">
        <v>0.83026315789473693</v>
      </c>
    </row>
    <row r="16" spans="1:9" x14ac:dyDescent="0.25">
      <c r="A16" s="4"/>
      <c r="B16" s="4" t="s">
        <v>19</v>
      </c>
      <c r="C16" s="4">
        <v>15</v>
      </c>
      <c r="D16" s="4">
        <f>Data!C16</f>
        <v>51</v>
      </c>
      <c r="E16" s="23">
        <v>126.39308411214954</v>
      </c>
      <c r="F16" s="5">
        <v>-75.393084112149538</v>
      </c>
      <c r="G16" s="5">
        <v>75.393084112149538</v>
      </c>
      <c r="H16" s="5">
        <v>5684.1171319416553</v>
      </c>
      <c r="I16" s="5">
        <v>1.4782957669048928</v>
      </c>
    </row>
    <row r="17" spans="1:9" x14ac:dyDescent="0.25">
      <c r="A17" s="4"/>
      <c r="B17" s="4" t="s">
        <v>20</v>
      </c>
      <c r="C17" s="4">
        <v>16</v>
      </c>
      <c r="D17" s="4">
        <f>Data!C17</f>
        <v>123</v>
      </c>
      <c r="E17" s="23">
        <v>274.29710579439256</v>
      </c>
      <c r="F17" s="5">
        <v>-151.29710579439256</v>
      </c>
      <c r="G17" s="5">
        <v>151.29710579439256</v>
      </c>
      <c r="H17" s="5">
        <v>22890.814221759618</v>
      </c>
      <c r="I17" s="5">
        <v>1.2300577706861184</v>
      </c>
    </row>
    <row r="18" spans="1:9" x14ac:dyDescent="0.25">
      <c r="A18" s="4"/>
      <c r="B18" s="4" t="s">
        <v>21</v>
      </c>
      <c r="C18" s="4">
        <v>17</v>
      </c>
      <c r="D18" s="4">
        <f>Data!C18</f>
        <v>98</v>
      </c>
      <c r="E18" s="23">
        <v>112.15042476716788</v>
      </c>
      <c r="F18" s="5">
        <v>-14.150424767167877</v>
      </c>
      <c r="G18" s="5">
        <v>14.150424767167877</v>
      </c>
      <c r="H18" s="5">
        <v>200.23452109127805</v>
      </c>
      <c r="I18" s="5">
        <v>0.14439208946089671</v>
      </c>
    </row>
    <row r="19" spans="1:9" x14ac:dyDescent="0.25">
      <c r="A19" s="4"/>
      <c r="B19" s="4" t="s">
        <v>22</v>
      </c>
      <c r="C19" s="4">
        <v>18</v>
      </c>
      <c r="D19" s="4">
        <f>Data!C19</f>
        <v>124</v>
      </c>
      <c r="E19" s="23">
        <v>57.744781131760611</v>
      </c>
      <c r="F19" s="5">
        <v>66.255218868239382</v>
      </c>
      <c r="G19" s="5">
        <v>66.255218868239382</v>
      </c>
      <c r="H19" s="5">
        <v>4389.7540272783035</v>
      </c>
      <c r="I19" s="5">
        <v>0.53431628119547891</v>
      </c>
    </row>
    <row r="20" spans="1:9" x14ac:dyDescent="0.25">
      <c r="A20" s="4"/>
      <c r="B20" s="4" t="s">
        <v>23</v>
      </c>
      <c r="C20" s="4">
        <v>19</v>
      </c>
      <c r="D20" s="4">
        <f>Data!C20</f>
        <v>163</v>
      </c>
      <c r="E20" s="23">
        <v>584.39470223879596</v>
      </c>
      <c r="F20" s="5">
        <v>-421.39470223879596</v>
      </c>
      <c r="G20" s="5">
        <v>421.39470223879596</v>
      </c>
      <c r="H20" s="5">
        <v>177573.4950749235</v>
      </c>
      <c r="I20" s="5">
        <v>2.5852435720171529</v>
      </c>
    </row>
    <row r="21" spans="1:9" x14ac:dyDescent="0.25">
      <c r="A21" s="4"/>
      <c r="B21" s="4" t="s">
        <v>24</v>
      </c>
      <c r="C21" s="4">
        <v>20</v>
      </c>
      <c r="D21" s="4">
        <f>Data!C21</f>
        <v>357</v>
      </c>
      <c r="E21" s="23">
        <v>189.23258124789311</v>
      </c>
      <c r="F21" s="5">
        <v>167.76741875210689</v>
      </c>
      <c r="G21" s="5">
        <v>167.76741875210689</v>
      </c>
      <c r="H21" s="5">
        <v>28145.906794744787</v>
      </c>
      <c r="I21" s="5">
        <v>0.46993674720478124</v>
      </c>
    </row>
    <row r="22" spans="1:9" x14ac:dyDescent="0.25">
      <c r="A22" s="4"/>
      <c r="B22" s="4" t="s">
        <v>25</v>
      </c>
      <c r="C22" s="4">
        <v>21</v>
      </c>
      <c r="D22" s="4">
        <f>Data!C22</f>
        <v>133</v>
      </c>
      <c r="E22" s="23">
        <v>391.58245121361063</v>
      </c>
      <c r="F22" s="5">
        <v>-258.58245121361063</v>
      </c>
      <c r="G22" s="5">
        <v>258.58245121361063</v>
      </c>
      <c r="H22" s="5">
        <v>66864.884075639318</v>
      </c>
      <c r="I22" s="5">
        <v>1.9442289564933131</v>
      </c>
    </row>
    <row r="23" spans="1:9" x14ac:dyDescent="0.25">
      <c r="A23" s="4"/>
      <c r="B23" s="4" t="s">
        <v>26</v>
      </c>
      <c r="C23" s="4">
        <v>22</v>
      </c>
      <c r="D23" s="4">
        <f>Data!C23</f>
        <v>161</v>
      </c>
      <c r="E23" s="23">
        <v>474.39458061998891</v>
      </c>
      <c r="F23" s="5">
        <v>-313.39458061998891</v>
      </c>
      <c r="G23" s="5">
        <v>313.39458061998891</v>
      </c>
      <c r="H23" s="5">
        <v>98216.163161978737</v>
      </c>
      <c r="I23" s="5">
        <v>1.9465501901862665</v>
      </c>
    </row>
    <row r="24" spans="1:9" x14ac:dyDescent="0.25">
      <c r="A24" s="4"/>
      <c r="B24" s="4" t="s">
        <v>27</v>
      </c>
      <c r="C24" s="4">
        <v>23</v>
      </c>
      <c r="D24" s="4">
        <f>Data!C24</f>
        <v>157</v>
      </c>
      <c r="E24" s="23">
        <v>214.33343366702189</v>
      </c>
      <c r="F24" s="5">
        <v>-57.333433667021893</v>
      </c>
      <c r="G24" s="5">
        <v>57.333433667021893</v>
      </c>
      <c r="H24" s="5">
        <v>3287.1226160507995</v>
      </c>
      <c r="I24" s="5">
        <v>0.3651811061593751</v>
      </c>
    </row>
    <row r="25" spans="1:9" x14ac:dyDescent="0.25">
      <c r="A25" s="4"/>
      <c r="B25" s="4" t="s">
        <v>28</v>
      </c>
      <c r="C25" s="4">
        <v>24</v>
      </c>
      <c r="D25" s="4">
        <f>Data!C25</f>
        <v>51</v>
      </c>
      <c r="E25" s="23">
        <v>150.4589962810667</v>
      </c>
      <c r="F25" s="5">
        <v>-99.458996281066703</v>
      </c>
      <c r="G25" s="5">
        <v>99.458996281066703</v>
      </c>
      <c r="H25" s="5">
        <v>9892.0919412372405</v>
      </c>
      <c r="I25" s="5">
        <v>1.9501763976679747</v>
      </c>
    </row>
    <row r="26" spans="1:9" x14ac:dyDescent="0.25">
      <c r="A26" s="4" t="s">
        <v>30</v>
      </c>
      <c r="B26" s="4" t="s">
        <v>14</v>
      </c>
      <c r="C26" s="4">
        <v>25</v>
      </c>
      <c r="D26" s="4">
        <f>Data!C26</f>
        <v>140</v>
      </c>
      <c r="E26" s="23">
        <v>22.375270456483559</v>
      </c>
      <c r="F26" s="5">
        <v>117.62472954351644</v>
      </c>
      <c r="G26" s="5">
        <v>117.62472954351644</v>
      </c>
      <c r="H26" s="5">
        <v>13835.577000185389</v>
      </c>
      <c r="I26" s="5">
        <v>0.84017663959654598</v>
      </c>
    </row>
    <row r="27" spans="1:9" x14ac:dyDescent="0.25">
      <c r="A27" s="4"/>
      <c r="B27" s="4" t="s">
        <v>18</v>
      </c>
      <c r="C27" s="4">
        <v>26</v>
      </c>
      <c r="D27" s="4">
        <f>Data!C27</f>
        <v>105</v>
      </c>
      <c r="E27" s="23">
        <v>162.94409512512473</v>
      </c>
      <c r="F27" s="5">
        <v>-57.944095125124733</v>
      </c>
      <c r="G27" s="5">
        <v>57.944095125124733</v>
      </c>
      <c r="H27" s="5">
        <v>3357.518159869504</v>
      </c>
      <c r="I27" s="5">
        <v>0.55184852500118797</v>
      </c>
    </row>
    <row r="28" spans="1:9" x14ac:dyDescent="0.25">
      <c r="A28" s="4"/>
      <c r="B28" s="4" t="s">
        <v>19</v>
      </c>
      <c r="C28" s="4">
        <v>27</v>
      </c>
      <c r="D28" s="4">
        <f>Data!C28</f>
        <v>147</v>
      </c>
      <c r="E28" s="23">
        <v>33.103420471512784</v>
      </c>
      <c r="F28" s="5">
        <v>113.89657952848722</v>
      </c>
      <c r="G28" s="5">
        <v>113.89657952848722</v>
      </c>
      <c r="H28" s="5">
        <v>12972.430828289014</v>
      </c>
      <c r="I28" s="5">
        <v>0.77480666345909677</v>
      </c>
    </row>
    <row r="29" spans="1:9" x14ac:dyDescent="0.25">
      <c r="A29" s="4"/>
      <c r="B29" s="4" t="s">
        <v>20</v>
      </c>
      <c r="C29" s="4">
        <v>28</v>
      </c>
      <c r="D29" s="4">
        <f>Data!C29</f>
        <v>88</v>
      </c>
      <c r="E29" s="23">
        <v>182.12173427929835</v>
      </c>
      <c r="F29" s="5">
        <v>-94.121734279298352</v>
      </c>
      <c r="G29" s="5">
        <v>94.121734279298352</v>
      </c>
      <c r="H29" s="5">
        <v>8858.9008637428469</v>
      </c>
      <c r="I29" s="5">
        <v>1.069565162264754</v>
      </c>
    </row>
    <row r="30" spans="1:9" x14ac:dyDescent="0.25">
      <c r="A30" s="4"/>
      <c r="B30" s="4" t="s">
        <v>21</v>
      </c>
      <c r="C30" s="4">
        <v>29</v>
      </c>
      <c r="D30" s="4">
        <f>Data!C30</f>
        <v>83</v>
      </c>
      <c r="E30" s="23">
        <v>147.72347223009459</v>
      </c>
      <c r="F30" s="5">
        <v>-64.723472230094586</v>
      </c>
      <c r="G30" s="5">
        <v>64.723472230094586</v>
      </c>
      <c r="H30" s="5">
        <v>4189.1278575198248</v>
      </c>
      <c r="I30" s="5">
        <v>0.77980087024210343</v>
      </c>
    </row>
    <row r="31" spans="1:9" x14ac:dyDescent="0.25">
      <c r="A31" s="4"/>
      <c r="B31" s="4" t="s">
        <v>22</v>
      </c>
      <c r="C31" s="4">
        <v>30</v>
      </c>
      <c r="D31" s="4">
        <f>Data!C31</f>
        <v>77</v>
      </c>
      <c r="E31" s="23">
        <v>149.25466667447557</v>
      </c>
      <c r="F31" s="5">
        <v>-72.254666674475573</v>
      </c>
      <c r="G31" s="5">
        <v>72.254666674475573</v>
      </c>
      <c r="H31" s="5">
        <v>5220.7368562395704</v>
      </c>
      <c r="I31" s="5">
        <v>0.93837229447370873</v>
      </c>
    </row>
    <row r="32" spans="1:9" x14ac:dyDescent="0.25">
      <c r="A32" s="4"/>
      <c r="B32" s="4" t="s">
        <v>23</v>
      </c>
      <c r="C32" s="4">
        <v>31</v>
      </c>
      <c r="D32" s="4">
        <f>Data!C32</f>
        <v>89</v>
      </c>
      <c r="E32" s="23">
        <v>235.31989840017542</v>
      </c>
      <c r="F32" s="5">
        <v>-146.31989840017542</v>
      </c>
      <c r="G32" s="5">
        <v>146.31989840017542</v>
      </c>
      <c r="H32" s="5">
        <v>21409.512667837658</v>
      </c>
      <c r="I32" s="5">
        <v>1.6440438022491619</v>
      </c>
    </row>
    <row r="33" spans="1:9" x14ac:dyDescent="0.25">
      <c r="A33" s="4"/>
      <c r="B33" s="4" t="s">
        <v>24</v>
      </c>
      <c r="C33" s="4">
        <v>32</v>
      </c>
      <c r="D33" s="4">
        <f>Data!C33</f>
        <v>154</v>
      </c>
      <c r="E33" s="23">
        <v>276.42402502526863</v>
      </c>
      <c r="F33" s="5">
        <v>-122.42402502526863</v>
      </c>
      <c r="G33" s="5">
        <v>122.42402502526863</v>
      </c>
      <c r="H33" s="5">
        <v>14987.641903387601</v>
      </c>
      <c r="I33" s="5">
        <v>0.79496120146278337</v>
      </c>
    </row>
    <row r="34" spans="1:9" x14ac:dyDescent="0.25">
      <c r="A34" s="4"/>
      <c r="B34" s="4" t="s">
        <v>25</v>
      </c>
      <c r="C34" s="4">
        <v>33</v>
      </c>
      <c r="D34" s="4">
        <f>Data!C34</f>
        <v>140</v>
      </c>
      <c r="E34" s="23">
        <v>92.024538177926729</v>
      </c>
      <c r="F34" s="5">
        <v>47.975461822073271</v>
      </c>
      <c r="G34" s="5">
        <v>47.975461822073271</v>
      </c>
      <c r="H34" s="5">
        <v>2301.6449370412101</v>
      </c>
      <c r="I34" s="5">
        <v>0.34268187015766621</v>
      </c>
    </row>
    <row r="35" spans="1:9" x14ac:dyDescent="0.25">
      <c r="A35" s="4"/>
      <c r="B35" s="4" t="s">
        <v>26</v>
      </c>
      <c r="C35" s="4">
        <v>34</v>
      </c>
      <c r="D35" s="4">
        <f>Data!C35</f>
        <v>148</v>
      </c>
      <c r="E35" s="23">
        <v>118.33386556591272</v>
      </c>
      <c r="F35" s="5">
        <v>29.666134434087283</v>
      </c>
      <c r="G35" s="5">
        <v>29.666134434087283</v>
      </c>
      <c r="H35" s="5">
        <v>880.07953226133918</v>
      </c>
      <c r="I35" s="5">
        <v>0.20044685428437353</v>
      </c>
    </row>
    <row r="36" spans="1:9" x14ac:dyDescent="0.25">
      <c r="A36" s="4"/>
      <c r="B36" s="4" t="s">
        <v>27</v>
      </c>
      <c r="C36" s="4">
        <v>35</v>
      </c>
      <c r="D36" s="4">
        <f>Data!C36</f>
        <v>125</v>
      </c>
      <c r="E36" s="23">
        <v>110.26126955421302</v>
      </c>
      <c r="F36" s="5">
        <v>14.738730445786985</v>
      </c>
      <c r="G36" s="5">
        <v>14.738730445786985</v>
      </c>
      <c r="H36" s="5">
        <v>217.23017515356821</v>
      </c>
      <c r="I36" s="5">
        <v>0.11790984356629587</v>
      </c>
    </row>
    <row r="37" spans="1:9" x14ac:dyDescent="0.25">
      <c r="A37" s="4"/>
      <c r="B37" s="4" t="s">
        <v>28</v>
      </c>
      <c r="C37" s="4">
        <v>36</v>
      </c>
      <c r="D37" s="4">
        <f>Data!C37</f>
        <v>83</v>
      </c>
      <c r="E37" s="23">
        <v>50.064783376480719</v>
      </c>
      <c r="F37" s="5">
        <v>32.935216623519281</v>
      </c>
      <c r="G37" s="5">
        <v>32.935216623519281</v>
      </c>
      <c r="H37" s="5">
        <v>1084.7284940381408</v>
      </c>
      <c r="I37" s="5">
        <v>0.3968098388375817</v>
      </c>
    </row>
    <row r="38" spans="1:9" x14ac:dyDescent="0.25">
      <c r="A38" s="4" t="s">
        <v>31</v>
      </c>
      <c r="B38" s="4" t="s">
        <v>14</v>
      </c>
      <c r="C38" s="4">
        <v>37</v>
      </c>
      <c r="D38" s="4">
        <f>Data!C38</f>
        <v>238</v>
      </c>
      <c r="E38" s="23">
        <v>98.284239591801025</v>
      </c>
      <c r="F38" s="5">
        <v>139.71576040819897</v>
      </c>
      <c r="G38" s="5">
        <v>139.71576040819897</v>
      </c>
      <c r="H38" s="5">
        <v>19520.493706441259</v>
      </c>
      <c r="I38" s="5">
        <v>0.58704101011848309</v>
      </c>
    </row>
    <row r="39" spans="1:9" x14ac:dyDescent="0.25">
      <c r="A39" s="4"/>
      <c r="B39" s="4" t="s">
        <v>18</v>
      </c>
      <c r="C39" s="4">
        <v>38</v>
      </c>
      <c r="D39" s="4">
        <f>Data!C39</f>
        <v>136</v>
      </c>
      <c r="E39" s="23">
        <v>121.06136521105988</v>
      </c>
      <c r="F39" s="5">
        <v>14.938634788940121</v>
      </c>
      <c r="G39" s="5">
        <v>14.938634788940121</v>
      </c>
      <c r="H39" s="5">
        <v>223.16280935733204</v>
      </c>
      <c r="I39" s="5">
        <v>0.10984290285985383</v>
      </c>
    </row>
    <row r="40" spans="1:9" x14ac:dyDescent="0.25">
      <c r="A40" s="4"/>
      <c r="B40" s="4" t="s">
        <v>19</v>
      </c>
      <c r="C40" s="4">
        <v>39</v>
      </c>
      <c r="D40" s="4">
        <f>Data!C40</f>
        <v>42</v>
      </c>
      <c r="E40" s="23">
        <v>104.863595304011</v>
      </c>
      <c r="F40" s="5">
        <v>-62.863595304011</v>
      </c>
      <c r="G40" s="5">
        <v>62.863595304011</v>
      </c>
      <c r="H40" s="5">
        <v>3951.8316145464737</v>
      </c>
      <c r="I40" s="5">
        <v>1.496752269143119</v>
      </c>
    </row>
    <row r="41" spans="1:9" x14ac:dyDescent="0.25">
      <c r="A41" s="4"/>
      <c r="B41" s="4" t="s">
        <v>20</v>
      </c>
      <c r="C41" s="4">
        <v>40</v>
      </c>
      <c r="D41" s="4">
        <f>Data!C41</f>
        <v>70</v>
      </c>
      <c r="E41" s="23">
        <v>54.427391383423469</v>
      </c>
      <c r="F41" s="5">
        <v>15.572608616576531</v>
      </c>
      <c r="G41" s="5">
        <v>15.572608616576531</v>
      </c>
      <c r="H41" s="5">
        <v>242.50613912507362</v>
      </c>
      <c r="I41" s="5">
        <v>0.22246583737966472</v>
      </c>
    </row>
    <row r="42" spans="1:9" x14ac:dyDescent="0.25">
      <c r="A42" s="4"/>
      <c r="B42" s="4" t="s">
        <v>21</v>
      </c>
      <c r="C42" s="4">
        <v>41</v>
      </c>
      <c r="D42" s="4">
        <f>Data!C42</f>
        <v>64</v>
      </c>
      <c r="E42" s="23">
        <v>51.837935458852677</v>
      </c>
      <c r="F42" s="5">
        <v>12.162064541147323</v>
      </c>
      <c r="G42" s="5">
        <v>12.162064541147323</v>
      </c>
      <c r="H42" s="5">
        <v>147.91581390303304</v>
      </c>
      <c r="I42" s="5">
        <v>0.19003225845542693</v>
      </c>
    </row>
    <row r="43" spans="1:9" x14ac:dyDescent="0.25">
      <c r="A43" s="4"/>
      <c r="B43" s="4" t="s">
        <v>22</v>
      </c>
      <c r="C43" s="4">
        <v>42</v>
      </c>
      <c r="D43" s="4">
        <f>Data!C43</f>
        <v>66</v>
      </c>
      <c r="E43" s="23">
        <v>55.980982827180078</v>
      </c>
      <c r="F43" s="5">
        <v>10.019017172819922</v>
      </c>
      <c r="G43" s="5">
        <v>10.019017172819922</v>
      </c>
      <c r="H43" s="5">
        <v>100.3807051092605</v>
      </c>
      <c r="I43" s="5">
        <v>0.15180329049727154</v>
      </c>
    </row>
    <row r="44" spans="1:9" x14ac:dyDescent="0.25">
      <c r="A44" s="4"/>
      <c r="B44" s="4" t="s">
        <v>23</v>
      </c>
      <c r="C44" s="4">
        <v>43</v>
      </c>
      <c r="D44" s="4">
        <f>Data!C44</f>
        <v>215</v>
      </c>
      <c r="E44" s="23">
        <v>88.252106233891737</v>
      </c>
      <c r="F44" s="5">
        <v>126.74789376610826</v>
      </c>
      <c r="G44" s="5">
        <v>126.74789376610826</v>
      </c>
      <c r="H44" s="5">
        <v>16065.028574144666</v>
      </c>
      <c r="I44" s="5">
        <v>0.58952508728422448</v>
      </c>
    </row>
    <row r="45" spans="1:9" x14ac:dyDescent="0.25">
      <c r="A45" s="4"/>
      <c r="B45" s="4" t="s">
        <v>24</v>
      </c>
      <c r="C45" s="4">
        <v>44</v>
      </c>
      <c r="D45" s="4">
        <f>Data!C45</f>
        <v>242</v>
      </c>
      <c r="E45" s="23">
        <v>284.93107352049378</v>
      </c>
      <c r="F45" s="5">
        <v>-42.931073520493783</v>
      </c>
      <c r="G45" s="5">
        <v>42.931073520493783</v>
      </c>
      <c r="H45" s="5">
        <v>1843.0770736220425</v>
      </c>
      <c r="I45" s="5">
        <v>0.17740113024997431</v>
      </c>
    </row>
    <row r="46" spans="1:9" x14ac:dyDescent="0.25">
      <c r="A46" s="4"/>
      <c r="B46" s="4" t="s">
        <v>25</v>
      </c>
      <c r="C46" s="4">
        <v>45</v>
      </c>
      <c r="D46" s="4">
        <f>Data!C46</f>
        <v>209</v>
      </c>
      <c r="E46" s="23">
        <v>313.52398631898063</v>
      </c>
      <c r="F46" s="5">
        <v>-104.52398631898063</v>
      </c>
      <c r="G46" s="5">
        <v>104.52398631898063</v>
      </c>
      <c r="H46" s="5">
        <v>10925.263716010451</v>
      </c>
      <c r="I46" s="5">
        <v>0.50011476707646241</v>
      </c>
    </row>
    <row r="47" spans="1:9" x14ac:dyDescent="0.25">
      <c r="A47" s="4"/>
      <c r="B47" s="4" t="s">
        <v>26</v>
      </c>
      <c r="C47" s="4">
        <v>46</v>
      </c>
      <c r="D47" s="4">
        <f>Data!C47</f>
        <v>106</v>
      </c>
      <c r="E47" s="23">
        <v>400.0371997540866</v>
      </c>
      <c r="F47" s="5">
        <v>-294.0371997540866</v>
      </c>
      <c r="G47" s="5">
        <v>294.0371997540866</v>
      </c>
      <c r="H47" s="5">
        <v>86457.87483922462</v>
      </c>
      <c r="I47" s="5">
        <v>2.7739358467366659</v>
      </c>
    </row>
    <row r="48" spans="1:9" x14ac:dyDescent="0.25">
      <c r="A48" s="4"/>
      <c r="B48" s="4" t="s">
        <v>27</v>
      </c>
      <c r="C48" s="4">
        <v>47</v>
      </c>
      <c r="D48" s="4">
        <f>Data!C48</f>
        <v>166</v>
      </c>
      <c r="E48" s="23">
        <v>329.93299358669105</v>
      </c>
      <c r="F48" s="5">
        <v>-163.93299358669105</v>
      </c>
      <c r="G48" s="5">
        <v>163.93299358669105</v>
      </c>
      <c r="H48" s="5">
        <v>26874.026386294092</v>
      </c>
      <c r="I48" s="5">
        <v>0.98754815413669306</v>
      </c>
    </row>
    <row r="49" spans="1:9" x14ac:dyDescent="0.25">
      <c r="A49" s="4"/>
      <c r="B49" s="4" t="s">
        <v>28</v>
      </c>
      <c r="C49" s="4">
        <v>48</v>
      </c>
      <c r="D49" s="4">
        <f>Data!C49</f>
        <v>97</v>
      </c>
      <c r="E49" s="23">
        <v>181.72983795298879</v>
      </c>
      <c r="F49" s="5">
        <v>-84.729837952988788</v>
      </c>
      <c r="G49" s="5">
        <v>84.729837952988788</v>
      </c>
      <c r="H49" s="5">
        <v>7179.1454395397395</v>
      </c>
      <c r="I49" s="5">
        <v>0.87350348405143086</v>
      </c>
    </row>
    <row r="50" spans="1:9" x14ac:dyDescent="0.25">
      <c r="A50" s="4" t="s">
        <v>32</v>
      </c>
      <c r="B50" s="4" t="s">
        <v>14</v>
      </c>
      <c r="C50" s="4">
        <v>49</v>
      </c>
      <c r="D50" s="4">
        <f>Data!C50</f>
        <v>96</v>
      </c>
      <c r="E50" s="23">
        <v>307.06193169901923</v>
      </c>
      <c r="F50" s="5">
        <v>-211.06193169901923</v>
      </c>
      <c r="G50" s="5">
        <v>211.06193169901923</v>
      </c>
      <c r="H50" s="5">
        <v>44547.13901252146</v>
      </c>
      <c r="I50" s="5">
        <v>2.1985617885314501</v>
      </c>
    </row>
    <row r="51" spans="1:9" x14ac:dyDescent="0.25">
      <c r="A51" s="4"/>
      <c r="B51" s="4" t="s">
        <v>18</v>
      </c>
      <c r="C51" s="4">
        <v>50</v>
      </c>
      <c r="D51" s="4">
        <f>Data!C51</f>
        <v>129</v>
      </c>
      <c r="E51" s="23">
        <v>73.687053152076984</v>
      </c>
      <c r="F51" s="5">
        <v>55.312946847923016</v>
      </c>
      <c r="G51" s="5">
        <v>55.312946847923016</v>
      </c>
      <c r="H51" s="5">
        <v>3059.5220890011565</v>
      </c>
      <c r="I51" s="5">
        <v>0.4287825337048296</v>
      </c>
    </row>
    <row r="52" spans="1:9" x14ac:dyDescent="0.25">
      <c r="A52" s="4"/>
      <c r="B52" s="4" t="s">
        <v>19</v>
      </c>
      <c r="C52" s="4">
        <v>51</v>
      </c>
      <c r="D52" s="4">
        <f>Data!C52</f>
        <v>71</v>
      </c>
      <c r="E52" s="23">
        <v>9.841814682685186</v>
      </c>
      <c r="F52" s="5">
        <v>61.158185317314818</v>
      </c>
      <c r="G52" s="5">
        <v>61.158185317314818</v>
      </c>
      <c r="H52" s="5">
        <v>3740.3236313070215</v>
      </c>
      <c r="I52" s="5">
        <v>0.86138289179316641</v>
      </c>
    </row>
    <row r="53" spans="1:9" x14ac:dyDescent="0.25">
      <c r="A53" s="4"/>
      <c r="B53" s="4" t="s">
        <v>20</v>
      </c>
      <c r="C53" s="4">
        <v>52</v>
      </c>
      <c r="D53" s="4">
        <f>Data!C53</f>
        <v>99</v>
      </c>
      <c r="E53" s="23">
        <v>15.687091597309083</v>
      </c>
      <c r="F53" s="5">
        <v>83.312908402690923</v>
      </c>
      <c r="G53" s="5">
        <v>83.312908402690923</v>
      </c>
      <c r="H53" s="5">
        <v>6941.0407065151676</v>
      </c>
      <c r="I53" s="5">
        <v>0.84154452932011037</v>
      </c>
    </row>
    <row r="54" spans="1:9" x14ac:dyDescent="0.25">
      <c r="A54" s="4"/>
      <c r="B54" s="4" t="s">
        <v>21</v>
      </c>
      <c r="C54" s="4">
        <v>53</v>
      </c>
      <c r="D54" s="4">
        <f>Data!C54</f>
        <v>98</v>
      </c>
      <c r="E54" s="23">
        <v>25.887712457550435</v>
      </c>
      <c r="F54" s="5">
        <v>72.112287542449565</v>
      </c>
      <c r="G54" s="5">
        <v>72.112287542449565</v>
      </c>
      <c r="H54" s="5">
        <v>5200.1820146049267</v>
      </c>
      <c r="I54" s="5">
        <v>0.73583966880050578</v>
      </c>
    </row>
    <row r="55" spans="1:9" x14ac:dyDescent="0.25">
      <c r="A55" s="4"/>
      <c r="B55" s="4" t="s">
        <v>22</v>
      </c>
      <c r="C55" s="4">
        <v>54</v>
      </c>
      <c r="D55" s="4">
        <f>Data!C55</f>
        <v>139</v>
      </c>
      <c r="E55" s="23">
        <v>46.962119989524297</v>
      </c>
      <c r="F55" s="5">
        <v>92.037880010475703</v>
      </c>
      <c r="G55" s="5">
        <v>92.037880010475703</v>
      </c>
      <c r="H55" s="5">
        <v>8470.9713568227235</v>
      </c>
      <c r="I55" s="5">
        <v>0.66214302165809857</v>
      </c>
    </row>
    <row r="56" spans="1:9" x14ac:dyDescent="0.25">
      <c r="A56" s="4"/>
      <c r="B56" s="4" t="s">
        <v>23</v>
      </c>
      <c r="C56" s="4">
        <v>55</v>
      </c>
      <c r="D56" s="4">
        <f>Data!C56</f>
        <v>90</v>
      </c>
      <c r="E56" s="23">
        <v>199.66336592090323</v>
      </c>
      <c r="F56" s="5">
        <v>-109.66336592090323</v>
      </c>
      <c r="G56" s="5">
        <v>109.66336592090323</v>
      </c>
      <c r="H56" s="5">
        <v>12026.053825101921</v>
      </c>
      <c r="I56" s="5">
        <v>1.2184818435655915</v>
      </c>
    </row>
    <row r="57" spans="1:9" x14ac:dyDescent="0.25">
      <c r="A57" s="4"/>
      <c r="B57" s="4" t="s">
        <v>24</v>
      </c>
      <c r="C57" s="4">
        <v>56</v>
      </c>
      <c r="D57" s="4">
        <f>Data!C57</f>
        <v>219</v>
      </c>
      <c r="E57" s="23">
        <v>212.32148882797989</v>
      </c>
      <c r="F57" s="5">
        <v>6.6785111720201087</v>
      </c>
      <c r="G57" s="5">
        <v>6.6785111720201087</v>
      </c>
      <c r="H57" s="5">
        <v>44.602511474797403</v>
      </c>
      <c r="I57" s="5">
        <v>3.0495484803744789E-2</v>
      </c>
    </row>
    <row r="58" spans="1:9" x14ac:dyDescent="0.25">
      <c r="A58" s="4"/>
      <c r="B58" s="4" t="s">
        <v>25</v>
      </c>
      <c r="C58" s="4">
        <v>57</v>
      </c>
      <c r="D58" s="4">
        <f>Data!C58</f>
        <v>206</v>
      </c>
      <c r="E58" s="23">
        <v>201.93655385706398</v>
      </c>
      <c r="F58" s="5">
        <v>4.0634461429360158</v>
      </c>
      <c r="G58" s="5">
        <v>4.0634461429360158</v>
      </c>
      <c r="H58" s="5">
        <v>16.511594556541585</v>
      </c>
      <c r="I58" s="5">
        <v>1.9725466713281629E-2</v>
      </c>
    </row>
    <row r="59" spans="1:9" x14ac:dyDescent="0.25">
      <c r="A59" s="4"/>
      <c r="B59" s="4" t="s">
        <v>26</v>
      </c>
      <c r="C59" s="4">
        <v>58</v>
      </c>
      <c r="D59" s="4">
        <f>Data!C59</f>
        <v>186</v>
      </c>
      <c r="E59" s="23">
        <v>147.47223939312568</v>
      </c>
      <c r="F59" s="5">
        <v>38.527760606874324</v>
      </c>
      <c r="G59" s="5">
        <v>38.527760606874324</v>
      </c>
      <c r="H59" s="5">
        <v>1484.388337380617</v>
      </c>
      <c r="I59" s="5">
        <v>0.20713849788642111</v>
      </c>
    </row>
    <row r="60" spans="1:9" x14ac:dyDescent="0.25">
      <c r="A60" s="4"/>
      <c r="B60" s="4" t="s">
        <v>27</v>
      </c>
      <c r="C60" s="4">
        <v>59</v>
      </c>
      <c r="D60" s="4">
        <f>Data!C60</f>
        <v>140</v>
      </c>
      <c r="E60" s="23">
        <v>284.84547657980977</v>
      </c>
      <c r="F60" s="5">
        <v>-144.84547657980977</v>
      </c>
      <c r="G60" s="5">
        <v>144.84547657980977</v>
      </c>
      <c r="H60" s="5">
        <v>20980.212085632222</v>
      </c>
      <c r="I60" s="5">
        <v>1.0346105469986413</v>
      </c>
    </row>
    <row r="61" spans="1:9" x14ac:dyDescent="0.25">
      <c r="A61" s="4"/>
      <c r="B61" s="4" t="s">
        <v>28</v>
      </c>
      <c r="C61" s="4">
        <v>60</v>
      </c>
      <c r="D61" s="4">
        <f>Data!C61</f>
        <v>61</v>
      </c>
      <c r="E61" s="23">
        <v>197.69161770648105</v>
      </c>
      <c r="F61" s="5">
        <v>-136.69161770648105</v>
      </c>
      <c r="G61" s="5">
        <v>136.69161770648105</v>
      </c>
      <c r="H61" s="5">
        <v>18684.598351214765</v>
      </c>
      <c r="I61" s="5">
        <v>2.2408461919095255</v>
      </c>
    </row>
    <row r="62" spans="1:9" x14ac:dyDescent="0.25">
      <c r="E62" s="24"/>
    </row>
    <row r="63" spans="1:9" x14ac:dyDescent="0.25">
      <c r="E63" s="24"/>
    </row>
    <row r="64" spans="1:9" x14ac:dyDescent="0.25">
      <c r="E64" s="24"/>
    </row>
    <row r="65" spans="5:5" x14ac:dyDescent="0.25">
      <c r="E65" s="24"/>
    </row>
    <row r="66" spans="5:5" x14ac:dyDescent="0.25">
      <c r="E66" s="24"/>
    </row>
    <row r="67" spans="5:5" x14ac:dyDescent="0.25">
      <c r="E67" s="24"/>
    </row>
    <row r="68" spans="5:5" x14ac:dyDescent="0.25">
      <c r="E68" s="24"/>
    </row>
    <row r="69" spans="5:5" x14ac:dyDescent="0.25">
      <c r="E69" s="24"/>
    </row>
    <row r="70" spans="5:5" x14ac:dyDescent="0.25">
      <c r="E70" s="24"/>
    </row>
  </sheetData>
  <sheetProtection algorithmName="SHA-512" hashValue="0+w53KT/Y078i7CFF9QdmoSXcSSUTRknVqzwKPEbc1ylypymtbvx2/VMq8mOIFrOM/uOOrEk8IQ3ai9mm/FZCA==" saltValue="SZW0p27b7ysq8pnny0FKOQ==" spinCount="100000" sheet="1" objects="1" scenarios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3F497-CD7C-460F-9B65-95D237AD3FD3}">
  <sheetPr codeName="Sheet8"/>
  <dimension ref="A1:I70"/>
  <sheetViews>
    <sheetView workbookViewId="0"/>
  </sheetViews>
  <sheetFormatPr defaultRowHeight="15" x14ac:dyDescent="0.25"/>
  <cols>
    <col min="1" max="4" width="16.42578125" customWidth="1"/>
    <col min="5" max="5" width="12" style="3" bestFit="1" customWidth="1"/>
    <col min="6" max="6" width="12.7109375" style="3" bestFit="1" customWidth="1"/>
    <col min="7" max="7" width="18.28515625" style="3" bestFit="1" customWidth="1"/>
    <col min="8" max="8" width="13.140625" style="3" bestFit="1" customWidth="1"/>
    <col min="9" max="9" width="29" style="3" bestFit="1" customWidth="1"/>
  </cols>
  <sheetData>
    <row r="1" spans="1:9" x14ac:dyDescent="0.25">
      <c r="A1" s="4"/>
      <c r="B1" s="4" t="s">
        <v>0</v>
      </c>
      <c r="C1" s="4" t="s">
        <v>2</v>
      </c>
      <c r="D1" s="6" t="s">
        <v>13</v>
      </c>
      <c r="E1" s="5" t="s">
        <v>33</v>
      </c>
      <c r="F1" s="5" t="s">
        <v>34</v>
      </c>
      <c r="G1" s="5" t="s">
        <v>35</v>
      </c>
      <c r="H1" s="5" t="s">
        <v>36</v>
      </c>
      <c r="I1" s="5" t="s">
        <v>37</v>
      </c>
    </row>
    <row r="2" spans="1:9" x14ac:dyDescent="0.25">
      <c r="A2" s="4" t="s">
        <v>13</v>
      </c>
      <c r="B2" s="4" t="s">
        <v>14</v>
      </c>
      <c r="C2" s="4">
        <v>1</v>
      </c>
      <c r="D2" s="6">
        <f>Data!C2</f>
        <v>40</v>
      </c>
      <c r="E2" s="23"/>
      <c r="F2" s="5"/>
      <c r="G2" s="5"/>
      <c r="H2" s="5"/>
      <c r="I2" s="5"/>
    </row>
    <row r="3" spans="1:9" x14ac:dyDescent="0.25">
      <c r="A3" s="4"/>
      <c r="B3" s="4" t="s">
        <v>18</v>
      </c>
      <c r="C3" s="4">
        <v>2</v>
      </c>
      <c r="D3" s="6">
        <f>Data!C3</f>
        <v>214</v>
      </c>
      <c r="E3" s="23">
        <v>214</v>
      </c>
      <c r="F3" s="5">
        <v>0</v>
      </c>
      <c r="G3" s="5">
        <v>0</v>
      </c>
      <c r="H3" s="5">
        <v>0</v>
      </c>
      <c r="I3" s="5">
        <v>0</v>
      </c>
    </row>
    <row r="4" spans="1:9" x14ac:dyDescent="0.25">
      <c r="A4" s="4"/>
      <c r="B4" s="4" t="s">
        <v>19</v>
      </c>
      <c r="C4" s="4">
        <v>3</v>
      </c>
      <c r="D4" s="6">
        <f>Data!C4</f>
        <v>60</v>
      </c>
      <c r="E4" s="23">
        <v>388</v>
      </c>
      <c r="F4" s="5">
        <v>-328</v>
      </c>
      <c r="G4" s="5">
        <v>328</v>
      </c>
      <c r="H4" s="5">
        <v>107584</v>
      </c>
      <c r="I4" s="5">
        <v>5.4666666666666668</v>
      </c>
    </row>
    <row r="5" spans="1:9" x14ac:dyDescent="0.25">
      <c r="A5" s="4"/>
      <c r="B5" s="4" t="s">
        <v>20</v>
      </c>
      <c r="C5" s="4">
        <v>4</v>
      </c>
      <c r="D5" s="6">
        <f>Data!C5</f>
        <v>138</v>
      </c>
      <c r="E5" s="23">
        <v>443.92000000000007</v>
      </c>
      <c r="F5" s="5">
        <v>-305.92000000000007</v>
      </c>
      <c r="G5" s="5">
        <v>305.92000000000007</v>
      </c>
      <c r="H5" s="5">
        <v>93587.04640000005</v>
      </c>
      <c r="I5" s="5">
        <v>2.2168115942028992</v>
      </c>
    </row>
    <row r="6" spans="1:9" x14ac:dyDescent="0.25">
      <c r="A6" s="4"/>
      <c r="B6" s="4" t="s">
        <v>21</v>
      </c>
      <c r="C6" s="4">
        <v>5</v>
      </c>
      <c r="D6" s="6">
        <f>Data!C6</f>
        <v>65</v>
      </c>
      <c r="E6" s="23">
        <v>455.30880000000013</v>
      </c>
      <c r="F6" s="5">
        <v>-390.30880000000013</v>
      </c>
      <c r="G6" s="5">
        <v>390.30880000000013</v>
      </c>
      <c r="H6" s="5">
        <v>152340.95935744009</v>
      </c>
      <c r="I6" s="5">
        <v>6.0047507692307711</v>
      </c>
    </row>
    <row r="7" spans="1:9" x14ac:dyDescent="0.25">
      <c r="A7" s="4"/>
      <c r="B7" s="4" t="s">
        <v>22</v>
      </c>
      <c r="C7" s="4">
        <v>6</v>
      </c>
      <c r="D7" s="6">
        <f>Data!C7</f>
        <v>36</v>
      </c>
      <c r="E7" s="23">
        <v>387.37043200000016</v>
      </c>
      <c r="F7" s="5">
        <v>-351.37043200000016</v>
      </c>
      <c r="G7" s="5">
        <v>351.37043200000016</v>
      </c>
      <c r="H7" s="5">
        <v>123461.18048386674</v>
      </c>
      <c r="I7" s="5">
        <v>9.7602897777777819</v>
      </c>
    </row>
    <row r="8" spans="1:9" x14ac:dyDescent="0.25">
      <c r="A8" s="4"/>
      <c r="B8" s="4" t="s">
        <v>23</v>
      </c>
      <c r="C8" s="4">
        <v>7</v>
      </c>
      <c r="D8" s="6">
        <f>Data!C8</f>
        <v>267</v>
      </c>
      <c r="E8" s="23">
        <v>271.00046848000011</v>
      </c>
      <c r="F8" s="5">
        <v>-4.0004684800001087</v>
      </c>
      <c r="G8" s="5">
        <v>4.0004684800001087</v>
      </c>
      <c r="H8" s="5">
        <v>16.003748059474379</v>
      </c>
      <c r="I8" s="5">
        <v>1.498302801498168E-2</v>
      </c>
    </row>
    <row r="9" spans="1:9" x14ac:dyDescent="0.25">
      <c r="A9" s="4"/>
      <c r="B9" s="4" t="s">
        <v>24</v>
      </c>
      <c r="C9" s="4">
        <v>8</v>
      </c>
      <c r="D9" s="6">
        <f>Data!C9</f>
        <v>103</v>
      </c>
      <c r="E9" s="23">
        <v>223.46442270720013</v>
      </c>
      <c r="F9" s="5">
        <v>-120.46442270720013</v>
      </c>
      <c r="G9" s="5">
        <v>120.46442270720013</v>
      </c>
      <c r="H9" s="5">
        <v>14511.677138178993</v>
      </c>
      <c r="I9" s="5">
        <v>1.1695575020116518</v>
      </c>
    </row>
    <row r="10" spans="1:9" x14ac:dyDescent="0.25">
      <c r="A10" s="4"/>
      <c r="B10" s="4" t="s">
        <v>25</v>
      </c>
      <c r="C10" s="4">
        <v>9</v>
      </c>
      <c r="D10" s="6">
        <f>Data!C10</f>
        <v>164</v>
      </c>
      <c r="E10" s="23">
        <v>133.3612784558081</v>
      </c>
      <c r="F10" s="5">
        <v>30.638721544191895</v>
      </c>
      <c r="G10" s="5">
        <v>30.638721544191895</v>
      </c>
      <c r="H10" s="5">
        <v>938.73125786252865</v>
      </c>
      <c r="I10" s="5">
        <v>0.18682147283043837</v>
      </c>
    </row>
    <row r="11" spans="1:9" x14ac:dyDescent="0.25">
      <c r="A11" s="4"/>
      <c r="B11" s="4" t="s">
        <v>26</v>
      </c>
      <c r="C11" s="4">
        <v>10</v>
      </c>
      <c r="D11" s="6">
        <f>Data!C11</f>
        <v>232</v>
      </c>
      <c r="E11" s="23">
        <v>78.380958501765221</v>
      </c>
      <c r="F11" s="5">
        <v>153.61904149823476</v>
      </c>
      <c r="G11" s="5">
        <v>153.61904149823476</v>
      </c>
      <c r="H11" s="5">
        <v>23598.809910836375</v>
      </c>
      <c r="I11" s="5">
        <v>0.66215104094066712</v>
      </c>
    </row>
    <row r="12" spans="1:9" x14ac:dyDescent="0.25">
      <c r="A12" s="4"/>
      <c r="B12" s="4" t="s">
        <v>27</v>
      </c>
      <c r="C12" s="4">
        <v>11</v>
      </c>
      <c r="D12" s="6">
        <f>Data!C12</f>
        <v>140</v>
      </c>
      <c r="E12" s="23">
        <v>72.575749178248472</v>
      </c>
      <c r="F12" s="5">
        <v>67.424250821751528</v>
      </c>
      <c r="G12" s="5">
        <v>67.424250821751528</v>
      </c>
      <c r="H12" s="5">
        <v>4546.029598874462</v>
      </c>
      <c r="I12" s="5">
        <v>0.48160179158393951</v>
      </c>
    </row>
    <row r="13" spans="1:9" x14ac:dyDescent="0.25">
      <c r="A13" s="4"/>
      <c r="B13" s="4" t="s">
        <v>28</v>
      </c>
      <c r="C13" s="4">
        <v>12</v>
      </c>
      <c r="D13" s="6">
        <f>Data!C13</f>
        <v>132</v>
      </c>
      <c r="E13" s="23">
        <v>60.319461850915317</v>
      </c>
      <c r="F13" s="5">
        <v>71.680538149084683</v>
      </c>
      <c r="G13" s="5">
        <v>71.680538149084683</v>
      </c>
      <c r="H13" s="5">
        <v>5138.0995493423843</v>
      </c>
      <c r="I13" s="5">
        <v>0.54303437991730819</v>
      </c>
    </row>
    <row r="14" spans="1:9" x14ac:dyDescent="0.25">
      <c r="A14" s="4" t="s">
        <v>29</v>
      </c>
      <c r="B14" s="4" t="s">
        <v>14</v>
      </c>
      <c r="C14" s="4">
        <v>13</v>
      </c>
      <c r="D14" s="6">
        <f>Data!C14</f>
        <v>59</v>
      </c>
      <c r="E14" s="23">
        <v>60.383318092902343</v>
      </c>
      <c r="F14" s="5">
        <v>-1.3833180929023428</v>
      </c>
      <c r="G14" s="5">
        <v>1.3833180929023428</v>
      </c>
      <c r="H14" s="5">
        <v>1.9135689461509746</v>
      </c>
      <c r="I14" s="5">
        <v>2.3446069371226147E-2</v>
      </c>
    </row>
    <row r="15" spans="1:9" x14ac:dyDescent="0.25">
      <c r="A15" s="4"/>
      <c r="B15" s="4" t="s">
        <v>18</v>
      </c>
      <c r="C15" s="4">
        <v>14</v>
      </c>
      <c r="D15" s="6">
        <f>Data!C15</f>
        <v>228</v>
      </c>
      <c r="E15" s="23">
        <v>45.61307219162758</v>
      </c>
      <c r="F15" s="5">
        <v>182.38692780837243</v>
      </c>
      <c r="G15" s="5">
        <v>182.38692780837243</v>
      </c>
      <c r="H15" s="5">
        <v>33264.991435376454</v>
      </c>
      <c r="I15" s="5">
        <v>0.79994266582619489</v>
      </c>
    </row>
    <row r="16" spans="1:9" x14ac:dyDescent="0.25">
      <c r="A16" s="4"/>
      <c r="B16" s="4" t="s">
        <v>19</v>
      </c>
      <c r="C16" s="4">
        <v>15</v>
      </c>
      <c r="D16" s="6">
        <f>Data!C16</f>
        <v>51</v>
      </c>
      <c r="E16" s="23">
        <v>96.778783919947386</v>
      </c>
      <c r="F16" s="5">
        <v>-45.778783919947386</v>
      </c>
      <c r="G16" s="5">
        <v>45.778783919947386</v>
      </c>
      <c r="H16" s="5">
        <v>2095.6970571892334</v>
      </c>
      <c r="I16" s="5">
        <v>0.89762321411661539</v>
      </c>
    </row>
    <row r="17" spans="1:9" x14ac:dyDescent="0.25">
      <c r="A17" s="4"/>
      <c r="B17" s="4" t="s">
        <v>20</v>
      </c>
      <c r="C17" s="4">
        <v>16</v>
      </c>
      <c r="D17" s="6">
        <f>Data!C17</f>
        <v>123</v>
      </c>
      <c r="E17" s="23">
        <v>94.986747875411638</v>
      </c>
      <c r="F17" s="5">
        <v>28.013252124588362</v>
      </c>
      <c r="G17" s="5">
        <v>28.013252124588362</v>
      </c>
      <c r="H17" s="5">
        <v>784.7422945957544</v>
      </c>
      <c r="I17" s="5">
        <v>0.22775001727307612</v>
      </c>
    </row>
    <row r="18" spans="1:9" x14ac:dyDescent="0.25">
      <c r="A18" s="4"/>
      <c r="B18" s="4" t="s">
        <v>21</v>
      </c>
      <c r="C18" s="4">
        <v>17</v>
      </c>
      <c r="D18" s="6">
        <f>Data!C18</f>
        <v>98</v>
      </c>
      <c r="E18" s="23">
        <v>112.43523937971719</v>
      </c>
      <c r="F18" s="5">
        <v>-14.435239379717189</v>
      </c>
      <c r="G18" s="5">
        <v>14.435239379717189</v>
      </c>
      <c r="H18" s="5">
        <v>208.37613594973789</v>
      </c>
      <c r="I18" s="5">
        <v>0.14729836101752233</v>
      </c>
    </row>
    <row r="19" spans="1:9" x14ac:dyDescent="0.25">
      <c r="A19" s="4"/>
      <c r="B19" s="4" t="s">
        <v>22</v>
      </c>
      <c r="C19" s="4">
        <v>18</v>
      </c>
      <c r="D19" s="6">
        <f>Data!C19</f>
        <v>124</v>
      </c>
      <c r="E19" s="23">
        <v>119.08439428240686</v>
      </c>
      <c r="F19" s="5">
        <v>4.915605717593138</v>
      </c>
      <c r="G19" s="5">
        <v>4.915605717593138</v>
      </c>
      <c r="H19" s="5">
        <v>24.163179570834348</v>
      </c>
      <c r="I19" s="5">
        <v>3.9641981593493046E-2</v>
      </c>
    </row>
    <row r="20" spans="1:9" x14ac:dyDescent="0.25">
      <c r="A20" s="4"/>
      <c r="B20" s="4" t="s">
        <v>23</v>
      </c>
      <c r="C20" s="4">
        <v>19</v>
      </c>
      <c r="D20" s="6">
        <f>Data!C20</f>
        <v>163</v>
      </c>
      <c r="E20" s="23">
        <v>130.39021511937352</v>
      </c>
      <c r="F20" s="5">
        <v>32.609784880626478</v>
      </c>
      <c r="G20" s="5">
        <v>32.609784880626478</v>
      </c>
      <c r="H20" s="5">
        <v>1063.3980699607353</v>
      </c>
      <c r="I20" s="5">
        <v>0.20006002994249372</v>
      </c>
    </row>
    <row r="21" spans="1:9" x14ac:dyDescent="0.25">
      <c r="A21" s="4"/>
      <c r="B21" s="4" t="s">
        <v>24</v>
      </c>
      <c r="C21" s="4">
        <v>20</v>
      </c>
      <c r="D21" s="6">
        <f>Data!C21</f>
        <v>357</v>
      </c>
      <c r="E21" s="23">
        <v>152.45243736984708</v>
      </c>
      <c r="F21" s="5">
        <v>204.54756263015292</v>
      </c>
      <c r="G21" s="5">
        <v>204.54756263015292</v>
      </c>
      <c r="H21" s="5">
        <v>41839.705377936334</v>
      </c>
      <c r="I21" s="5">
        <v>0.57296236030855163</v>
      </c>
    </row>
    <row r="22" spans="1:9" x14ac:dyDescent="0.25">
      <c r="A22" s="4"/>
      <c r="B22" s="4" t="s">
        <v>25</v>
      </c>
      <c r="C22" s="4">
        <v>21</v>
      </c>
      <c r="D22" s="6">
        <f>Data!C22</f>
        <v>133</v>
      </c>
      <c r="E22" s="23">
        <v>241.6298251910504</v>
      </c>
      <c r="F22" s="5">
        <v>-108.6298251910504</v>
      </c>
      <c r="G22" s="5">
        <v>108.6298251910504</v>
      </c>
      <c r="H22" s="5">
        <v>11800.438921038169</v>
      </c>
      <c r="I22" s="5">
        <v>0.8167656029402286</v>
      </c>
    </row>
    <row r="23" spans="1:9" x14ac:dyDescent="0.25">
      <c r="A23" s="4"/>
      <c r="B23" s="4" t="s">
        <v>26</v>
      </c>
      <c r="C23" s="4">
        <v>22</v>
      </c>
      <c r="D23" s="6">
        <f>Data!C23</f>
        <v>161</v>
      </c>
      <c r="E23" s="23">
        <v>250.79096341744503</v>
      </c>
      <c r="F23" s="5">
        <v>-89.790963417445028</v>
      </c>
      <c r="G23" s="5">
        <v>89.790963417445028</v>
      </c>
      <c r="H23" s="5">
        <v>8062.4171114329511</v>
      </c>
      <c r="I23" s="5">
        <v>0.55770784731332312</v>
      </c>
    </row>
    <row r="24" spans="1:9" x14ac:dyDescent="0.25">
      <c r="A24" s="4"/>
      <c r="B24" s="4" t="s">
        <v>27</v>
      </c>
      <c r="C24" s="4">
        <v>23</v>
      </c>
      <c r="D24" s="6">
        <f>Data!C24</f>
        <v>157</v>
      </c>
      <c r="E24" s="23">
        <v>249.35331985176947</v>
      </c>
      <c r="F24" s="5">
        <v>-92.35331985176947</v>
      </c>
      <c r="G24" s="5">
        <v>92.35331985176947</v>
      </c>
      <c r="H24" s="5">
        <v>8529.1356876432365</v>
      </c>
      <c r="I24" s="5">
        <v>0.58823770606222592</v>
      </c>
    </row>
    <row r="25" spans="1:9" x14ac:dyDescent="0.25">
      <c r="A25" s="4"/>
      <c r="B25" s="4" t="s">
        <v>28</v>
      </c>
      <c r="C25" s="4">
        <v>24</v>
      </c>
      <c r="D25" s="6">
        <f>Data!C25</f>
        <v>51</v>
      </c>
      <c r="E25" s="23">
        <v>232.62667382294595</v>
      </c>
      <c r="F25" s="5">
        <v>-181.62667382294595</v>
      </c>
      <c r="G25" s="5">
        <v>181.62667382294595</v>
      </c>
      <c r="H25" s="5">
        <v>32988.248643986801</v>
      </c>
      <c r="I25" s="5">
        <v>3.5613073298616853</v>
      </c>
    </row>
    <row r="26" spans="1:9" x14ac:dyDescent="0.25">
      <c r="A26" s="4" t="s">
        <v>30</v>
      </c>
      <c r="B26" s="4" t="s">
        <v>14</v>
      </c>
      <c r="C26" s="4">
        <v>25</v>
      </c>
      <c r="D26" s="6">
        <f>Data!C26</f>
        <v>140</v>
      </c>
      <c r="E26" s="23">
        <v>168.98508918821574</v>
      </c>
      <c r="F26" s="5">
        <v>-28.985089188215738</v>
      </c>
      <c r="G26" s="5">
        <v>28.985089188215738</v>
      </c>
      <c r="H26" s="5">
        <v>840.13539524882094</v>
      </c>
      <c r="I26" s="5">
        <v>0.20703635134439813</v>
      </c>
    </row>
    <row r="27" spans="1:9" x14ac:dyDescent="0.25">
      <c r="A27" s="4"/>
      <c r="B27" s="4" t="s">
        <v>18</v>
      </c>
      <c r="C27" s="4">
        <v>26</v>
      </c>
      <c r="D27" s="6">
        <f>Data!C27</f>
        <v>105</v>
      </c>
      <c r="E27" s="23">
        <v>131.23420721031704</v>
      </c>
      <c r="F27" s="5">
        <v>-26.234207210317038</v>
      </c>
      <c r="G27" s="5">
        <v>26.234207210317038</v>
      </c>
      <c r="H27" s="5">
        <v>688.23362795385049</v>
      </c>
      <c r="I27" s="5">
        <v>0.24984959247920988</v>
      </c>
    </row>
    <row r="28" spans="1:9" x14ac:dyDescent="0.25">
      <c r="A28" s="4"/>
      <c r="B28" s="4" t="s">
        <v>19</v>
      </c>
      <c r="C28" s="4">
        <v>27</v>
      </c>
      <c r="D28" s="6">
        <f>Data!C28</f>
        <v>147</v>
      </c>
      <c r="E28" s="23">
        <v>89.836028474347373</v>
      </c>
      <c r="F28" s="5">
        <v>57.163971525652627</v>
      </c>
      <c r="G28" s="5">
        <v>57.163971525652627</v>
      </c>
      <c r="H28" s="5">
        <v>3267.7196405856243</v>
      </c>
      <c r="I28" s="5">
        <v>0.3888705545962764</v>
      </c>
    </row>
    <row r="29" spans="1:9" x14ac:dyDescent="0.25">
      <c r="A29" s="4"/>
      <c r="B29" s="4" t="s">
        <v>20</v>
      </c>
      <c r="C29" s="4">
        <v>28</v>
      </c>
      <c r="D29" s="6">
        <f>Data!C29</f>
        <v>88</v>
      </c>
      <c r="E29" s="23">
        <v>74.263720929676055</v>
      </c>
      <c r="F29" s="5">
        <v>13.736279070323945</v>
      </c>
      <c r="G29" s="5">
        <v>13.736279070323945</v>
      </c>
      <c r="H29" s="5">
        <v>188.68536269781967</v>
      </c>
      <c r="I29" s="5">
        <v>0.1560940803445903</v>
      </c>
    </row>
    <row r="30" spans="1:9" x14ac:dyDescent="0.25">
      <c r="A30" s="4"/>
      <c r="B30" s="4" t="s">
        <v>21</v>
      </c>
      <c r="C30" s="4">
        <v>29</v>
      </c>
      <c r="D30" s="6">
        <f>Data!C30</f>
        <v>83</v>
      </c>
      <c r="E30" s="23">
        <v>52.203679545190852</v>
      </c>
      <c r="F30" s="5">
        <v>30.796320454809148</v>
      </c>
      <c r="G30" s="5">
        <v>30.796320454809148</v>
      </c>
      <c r="H30" s="5">
        <v>948.41335355529634</v>
      </c>
      <c r="I30" s="5">
        <v>0.37104000547962829</v>
      </c>
    </row>
    <row r="31" spans="1:9" x14ac:dyDescent="0.25">
      <c r="A31" s="4"/>
      <c r="B31" s="4" t="s">
        <v>22</v>
      </c>
      <c r="C31" s="4">
        <v>30</v>
      </c>
      <c r="D31" s="6">
        <f>Data!C31</f>
        <v>77</v>
      </c>
      <c r="E31" s="23">
        <v>38.483057710372151</v>
      </c>
      <c r="F31" s="5">
        <v>38.516942289627849</v>
      </c>
      <c r="G31" s="5">
        <v>38.516942289627849</v>
      </c>
      <c r="H31" s="5">
        <v>1483.5548433425222</v>
      </c>
      <c r="I31" s="5">
        <v>0.50022002973542656</v>
      </c>
    </row>
    <row r="32" spans="1:9" x14ac:dyDescent="0.25">
      <c r="A32" s="4"/>
      <c r="B32" s="4" t="s">
        <v>23</v>
      </c>
      <c r="C32" s="4">
        <v>31</v>
      </c>
      <c r="D32" s="6">
        <f>Data!C32</f>
        <v>89</v>
      </c>
      <c r="E32" s="23">
        <v>32.469271008857646</v>
      </c>
      <c r="F32" s="5">
        <v>56.530728991142354</v>
      </c>
      <c r="G32" s="5">
        <v>56.530728991142354</v>
      </c>
      <c r="H32" s="5">
        <v>3195.7233202699827</v>
      </c>
      <c r="I32" s="5">
        <v>0.6351767302375545</v>
      </c>
    </row>
    <row r="33" spans="1:9" x14ac:dyDescent="0.25">
      <c r="A33" s="4"/>
      <c r="B33" s="4" t="s">
        <v>24</v>
      </c>
      <c r="C33" s="4">
        <v>32</v>
      </c>
      <c r="D33" s="6">
        <f>Data!C33</f>
        <v>154</v>
      </c>
      <c r="E33" s="23">
        <v>39.103158286228819</v>
      </c>
      <c r="F33" s="5">
        <v>114.89684171377118</v>
      </c>
      <c r="G33" s="5">
        <v>114.89684171377118</v>
      </c>
      <c r="H33" s="5">
        <v>13201.284235799389</v>
      </c>
      <c r="I33" s="5">
        <v>0.74608338775176086</v>
      </c>
    </row>
    <row r="34" spans="1:9" x14ac:dyDescent="0.25">
      <c r="A34" s="4"/>
      <c r="B34" s="4" t="s">
        <v>25</v>
      </c>
      <c r="C34" s="4">
        <v>33</v>
      </c>
      <c r="D34" s="6">
        <f>Data!C34</f>
        <v>140</v>
      </c>
      <c r="E34" s="23">
        <v>75.793762782329154</v>
      </c>
      <c r="F34" s="5">
        <v>64.206237217670846</v>
      </c>
      <c r="G34" s="5">
        <v>64.206237217670846</v>
      </c>
      <c r="H34" s="5">
        <v>4122.4408976518207</v>
      </c>
      <c r="I34" s="5">
        <v>0.45861598012622035</v>
      </c>
    </row>
    <row r="35" spans="1:9" x14ac:dyDescent="0.25">
      <c r="A35" s="4"/>
      <c r="B35" s="4" t="s">
        <v>26</v>
      </c>
      <c r="C35" s="4">
        <v>34</v>
      </c>
      <c r="D35" s="6">
        <f>Data!C35</f>
        <v>148</v>
      </c>
      <c r="E35" s="23">
        <v>112.61924433403675</v>
      </c>
      <c r="F35" s="5">
        <v>35.38075566596325</v>
      </c>
      <c r="G35" s="5">
        <v>35.38075566596325</v>
      </c>
      <c r="H35" s="5">
        <v>1251.7978714945905</v>
      </c>
      <c r="I35" s="5">
        <v>0.23905915990515708</v>
      </c>
    </row>
    <row r="36" spans="1:9" x14ac:dyDescent="0.25">
      <c r="A36" s="4"/>
      <c r="B36" s="4" t="s">
        <v>27</v>
      </c>
      <c r="C36" s="4">
        <v>35</v>
      </c>
      <c r="D36" s="6">
        <f>Data!C36</f>
        <v>125</v>
      </c>
      <c r="E36" s="23">
        <v>149.34055048195697</v>
      </c>
      <c r="F36" s="5">
        <v>-24.340550481956967</v>
      </c>
      <c r="G36" s="5">
        <v>24.340550481956967</v>
      </c>
      <c r="H36" s="5">
        <v>592.46239776469554</v>
      </c>
      <c r="I36" s="5">
        <v>0.19472440385565573</v>
      </c>
    </row>
    <row r="37" spans="1:9" x14ac:dyDescent="0.25">
      <c r="A37" s="4"/>
      <c r="B37" s="4" t="s">
        <v>28</v>
      </c>
      <c r="C37" s="4">
        <v>36</v>
      </c>
      <c r="D37" s="6">
        <f>Data!C37</f>
        <v>83</v>
      </c>
      <c r="E37" s="23">
        <v>170.22310732317999</v>
      </c>
      <c r="F37" s="5">
        <v>-87.223107323179988</v>
      </c>
      <c r="G37" s="5">
        <v>87.223107323179988</v>
      </c>
      <c r="H37" s="5">
        <v>7607.8704511109745</v>
      </c>
      <c r="I37" s="5">
        <v>1.0508808111226504</v>
      </c>
    </row>
    <row r="38" spans="1:9" x14ac:dyDescent="0.25">
      <c r="A38" s="4" t="s">
        <v>31</v>
      </c>
      <c r="B38" s="4" t="s">
        <v>14</v>
      </c>
      <c r="C38" s="4">
        <v>37</v>
      </c>
      <c r="D38" s="6">
        <f>Data!C38</f>
        <v>238</v>
      </c>
      <c r="E38" s="23">
        <v>164.57345562444965</v>
      </c>
      <c r="F38" s="5">
        <v>73.42654437555035</v>
      </c>
      <c r="G38" s="5">
        <v>73.42654437555035</v>
      </c>
      <c r="H38" s="5">
        <v>5391.4574189346649</v>
      </c>
      <c r="I38" s="5">
        <v>0.30851489233424517</v>
      </c>
    </row>
    <row r="39" spans="1:9" x14ac:dyDescent="0.25">
      <c r="A39" s="4"/>
      <c r="B39" s="4" t="s">
        <v>18</v>
      </c>
      <c r="C39" s="4">
        <v>38</v>
      </c>
      <c r="D39" s="6">
        <f>Data!C39</f>
        <v>136</v>
      </c>
      <c r="E39" s="23">
        <v>202.80198136555344</v>
      </c>
      <c r="F39" s="5">
        <v>-66.801981365553445</v>
      </c>
      <c r="G39" s="5">
        <v>66.801981365553445</v>
      </c>
      <c r="H39" s="5">
        <v>4462.5047143637494</v>
      </c>
      <c r="I39" s="5">
        <v>0.49119103945259884</v>
      </c>
    </row>
    <row r="40" spans="1:9" x14ac:dyDescent="0.25">
      <c r="A40" s="4"/>
      <c r="B40" s="4" t="s">
        <v>19</v>
      </c>
      <c r="C40" s="4">
        <v>39</v>
      </c>
      <c r="D40" s="6">
        <f>Data!C40</f>
        <v>42</v>
      </c>
      <c r="E40" s="23">
        <v>202.29648493994796</v>
      </c>
      <c r="F40" s="5">
        <v>-160.29648493994796</v>
      </c>
      <c r="G40" s="5">
        <v>160.29648493994796</v>
      </c>
      <c r="H40" s="5">
        <v>25694.963084102961</v>
      </c>
      <c r="I40" s="5">
        <v>3.8165829747606659</v>
      </c>
    </row>
    <row r="41" spans="1:9" x14ac:dyDescent="0.25">
      <c r="A41" s="4"/>
      <c r="B41" s="4" t="s">
        <v>20</v>
      </c>
      <c r="C41" s="4">
        <v>40</v>
      </c>
      <c r="D41" s="6">
        <f>Data!C41</f>
        <v>70</v>
      </c>
      <c r="E41" s="23">
        <v>157.44465020907191</v>
      </c>
      <c r="F41" s="5">
        <v>-87.444650209071909</v>
      </c>
      <c r="G41" s="5">
        <v>87.444650209071909</v>
      </c>
      <c r="H41" s="5">
        <v>7646.5668501869395</v>
      </c>
      <c r="I41" s="5">
        <v>1.2492092887010273</v>
      </c>
    </row>
    <row r="42" spans="1:9" x14ac:dyDescent="0.25">
      <c r="A42" s="4"/>
      <c r="B42" s="4" t="s">
        <v>21</v>
      </c>
      <c r="C42" s="4">
        <v>41</v>
      </c>
      <c r="D42" s="6">
        <f>Data!C42</f>
        <v>64</v>
      </c>
      <c r="E42" s="23">
        <v>113.17203839091957</v>
      </c>
      <c r="F42" s="5">
        <v>-49.172038390919568</v>
      </c>
      <c r="G42" s="5">
        <v>49.172038390919568</v>
      </c>
      <c r="H42" s="5">
        <v>2417.889359518068</v>
      </c>
      <c r="I42" s="5">
        <v>0.76831309985811824</v>
      </c>
    </row>
    <row r="43" spans="1:9" x14ac:dyDescent="0.25">
      <c r="A43" s="4"/>
      <c r="B43" s="4" t="s">
        <v>22</v>
      </c>
      <c r="C43" s="4">
        <v>42</v>
      </c>
      <c r="D43" s="6">
        <f>Data!C43</f>
        <v>66</v>
      </c>
      <c r="E43" s="23">
        <v>68.686422793850568</v>
      </c>
      <c r="F43" s="5">
        <v>-2.6864227938505678</v>
      </c>
      <c r="G43" s="5">
        <v>2.6864227938505678</v>
      </c>
      <c r="H43" s="5">
        <v>7.2168674273198903</v>
      </c>
      <c r="I43" s="5">
        <v>4.070337566440254E-2</v>
      </c>
    </row>
    <row r="44" spans="1:9" x14ac:dyDescent="0.25">
      <c r="A44" s="4"/>
      <c r="B44" s="4" t="s">
        <v>23</v>
      </c>
      <c r="C44" s="4">
        <v>43</v>
      </c>
      <c r="D44" s="6">
        <f>Data!C44</f>
        <v>215</v>
      </c>
      <c r="E44" s="23">
        <v>33.068102669179275</v>
      </c>
      <c r="F44" s="5">
        <v>181.93189733082073</v>
      </c>
      <c r="G44" s="5">
        <v>181.93189733082073</v>
      </c>
      <c r="H44" s="5">
        <v>33099.215266392297</v>
      </c>
      <c r="I44" s="5">
        <v>0.8461948713061429</v>
      </c>
    </row>
    <row r="45" spans="1:9" x14ac:dyDescent="0.25">
      <c r="A45" s="4"/>
      <c r="B45" s="4" t="s">
        <v>24</v>
      </c>
      <c r="C45" s="4">
        <v>44</v>
      </c>
      <c r="D45" s="6">
        <f>Data!C45</f>
        <v>242</v>
      </c>
      <c r="E45" s="23">
        <v>63.482550142373569</v>
      </c>
      <c r="F45" s="5">
        <v>178.51744985762645</v>
      </c>
      <c r="G45" s="5">
        <v>178.51744985762645</v>
      </c>
      <c r="H45" s="5">
        <v>31868.479903670173</v>
      </c>
      <c r="I45" s="5">
        <v>0.73767541263482006</v>
      </c>
    </row>
    <row r="46" spans="1:9" x14ac:dyDescent="0.25">
      <c r="A46" s="4"/>
      <c r="B46" s="4" t="s">
        <v>25</v>
      </c>
      <c r="C46" s="4">
        <v>45</v>
      </c>
      <c r="D46" s="6">
        <f>Data!C46</f>
        <v>209</v>
      </c>
      <c r="E46" s="23">
        <v>121.77690009814923</v>
      </c>
      <c r="F46" s="5">
        <v>87.223099901850773</v>
      </c>
      <c r="G46" s="5">
        <v>87.223099901850773</v>
      </c>
      <c r="H46" s="5">
        <v>7607.8691564882402</v>
      </c>
      <c r="I46" s="5">
        <v>0.41733540622895104</v>
      </c>
    </row>
    <row r="47" spans="1:9" x14ac:dyDescent="0.25">
      <c r="A47" s="4"/>
      <c r="B47" s="4" t="s">
        <v>26</v>
      </c>
      <c r="C47" s="4">
        <v>46</v>
      </c>
      <c r="D47" s="6">
        <f>Data!C47</f>
        <v>106</v>
      </c>
      <c r="E47" s="23">
        <v>175.7680760470659</v>
      </c>
      <c r="F47" s="5">
        <v>-69.768076047065904</v>
      </c>
      <c r="G47" s="5">
        <v>69.768076047065904</v>
      </c>
      <c r="H47" s="5">
        <v>4867.5844353091707</v>
      </c>
      <c r="I47" s="5">
        <v>0.65818939667043308</v>
      </c>
    </row>
    <row r="48" spans="1:9" x14ac:dyDescent="0.25">
      <c r="A48" s="4"/>
      <c r="B48" s="4" t="s">
        <v>27</v>
      </c>
      <c r="C48" s="4">
        <v>47</v>
      </c>
      <c r="D48" s="6">
        <f>Data!C48</f>
        <v>166</v>
      </c>
      <c r="E48" s="23">
        <v>187.19812463866873</v>
      </c>
      <c r="F48" s="5">
        <v>-21.19812463866873</v>
      </c>
      <c r="G48" s="5">
        <v>21.19812463866873</v>
      </c>
      <c r="H48" s="5">
        <v>449.36048819653428</v>
      </c>
      <c r="I48" s="5">
        <v>0.12769954601607669</v>
      </c>
    </row>
    <row r="49" spans="1:9" x14ac:dyDescent="0.25">
      <c r="A49" s="4"/>
      <c r="B49" s="4" t="s">
        <v>28</v>
      </c>
      <c r="C49" s="4">
        <v>48</v>
      </c>
      <c r="D49" s="6">
        <f>Data!C49</f>
        <v>97</v>
      </c>
      <c r="E49" s="23">
        <v>204.95046356976394</v>
      </c>
      <c r="F49" s="5">
        <v>-107.95046356976394</v>
      </c>
      <c r="G49" s="5">
        <v>107.95046356976394</v>
      </c>
      <c r="H49" s="5">
        <v>11653.302584926932</v>
      </c>
      <c r="I49" s="5">
        <v>1.1128913770078757</v>
      </c>
    </row>
    <row r="50" spans="1:9" x14ac:dyDescent="0.25">
      <c r="A50" s="4" t="s">
        <v>32</v>
      </c>
      <c r="B50" s="4" t="s">
        <v>14</v>
      </c>
      <c r="C50" s="4">
        <v>49</v>
      </c>
      <c r="D50" s="6">
        <f>Data!C50</f>
        <v>96</v>
      </c>
      <c r="E50" s="23">
        <v>188.08026054347792</v>
      </c>
      <c r="F50" s="5">
        <v>-92.08026054347792</v>
      </c>
      <c r="G50" s="5">
        <v>92.08026054347792</v>
      </c>
      <c r="H50" s="5">
        <v>8478.7743817547762</v>
      </c>
      <c r="I50" s="5">
        <v>0.95916938066122837</v>
      </c>
    </row>
    <row r="51" spans="1:9" x14ac:dyDescent="0.25">
      <c r="A51" s="4"/>
      <c r="B51" s="4" t="s">
        <v>18</v>
      </c>
      <c r="C51" s="4">
        <v>50</v>
      </c>
      <c r="D51" s="6">
        <f>Data!C51</f>
        <v>129</v>
      </c>
      <c r="E51" s="23">
        <v>159.6512564354926</v>
      </c>
      <c r="F51" s="5">
        <v>-30.651256435492598</v>
      </c>
      <c r="G51" s="5">
        <v>30.651256435492598</v>
      </c>
      <c r="H51" s="5">
        <v>939.49952107432648</v>
      </c>
      <c r="I51" s="5">
        <v>0.23760663903482634</v>
      </c>
    </row>
    <row r="52" spans="1:9" x14ac:dyDescent="0.25">
      <c r="A52" s="4"/>
      <c r="B52" s="4" t="s">
        <v>19</v>
      </c>
      <c r="C52" s="4">
        <v>51</v>
      </c>
      <c r="D52" s="6">
        <f>Data!C52</f>
        <v>71</v>
      </c>
      <c r="E52" s="23">
        <v>138.60385211942557</v>
      </c>
      <c r="F52" s="5">
        <v>-67.603852119425568</v>
      </c>
      <c r="G52" s="5">
        <v>67.603852119425568</v>
      </c>
      <c r="H52" s="5">
        <v>4570.2808213851613</v>
      </c>
      <c r="I52" s="5">
        <v>0.95216693125951501</v>
      </c>
    </row>
    <row r="53" spans="1:9" x14ac:dyDescent="0.25">
      <c r="A53" s="4"/>
      <c r="B53" s="4" t="s">
        <v>20</v>
      </c>
      <c r="C53" s="4">
        <v>52</v>
      </c>
      <c r="D53" s="6">
        <f>Data!C53</f>
        <v>99</v>
      </c>
      <c r="E53" s="23">
        <v>99.349312327463849</v>
      </c>
      <c r="F53" s="5">
        <v>-0.34931232746384921</v>
      </c>
      <c r="G53" s="5">
        <v>0.34931232746384921</v>
      </c>
      <c r="H53" s="5">
        <v>0.12201910211821143</v>
      </c>
      <c r="I53" s="5">
        <v>3.5284073481196892E-3</v>
      </c>
    </row>
    <row r="54" spans="1:9" x14ac:dyDescent="0.25">
      <c r="A54" s="4"/>
      <c r="B54" s="4" t="s">
        <v>21</v>
      </c>
      <c r="C54" s="4">
        <v>53</v>
      </c>
      <c r="D54" s="6">
        <f>Data!C54</f>
        <v>98</v>
      </c>
      <c r="E54" s="23">
        <v>73.489790521500268</v>
      </c>
      <c r="F54" s="5">
        <v>24.510209478499732</v>
      </c>
      <c r="G54" s="5">
        <v>24.510209478499732</v>
      </c>
      <c r="H54" s="5">
        <v>600.75036867993811</v>
      </c>
      <c r="I54" s="5">
        <v>0.25010417835203808</v>
      </c>
    </row>
    <row r="55" spans="1:9" x14ac:dyDescent="0.25">
      <c r="A55" s="4"/>
      <c r="B55" s="4" t="s">
        <v>22</v>
      </c>
      <c r="C55" s="4">
        <v>54</v>
      </c>
      <c r="D55" s="6">
        <f>Data!C55</f>
        <v>139</v>
      </c>
      <c r="E55" s="23">
        <v>56.523806593289365</v>
      </c>
      <c r="F55" s="5">
        <v>82.476193406710635</v>
      </c>
      <c r="G55" s="5">
        <v>82.476193406710635</v>
      </c>
      <c r="H55" s="5">
        <v>6802.3224788611387</v>
      </c>
      <c r="I55" s="5">
        <v>0.59335390940079591</v>
      </c>
    </row>
    <row r="56" spans="1:9" x14ac:dyDescent="0.25">
      <c r="A56" s="4"/>
      <c r="B56" s="4" t="s">
        <v>23</v>
      </c>
      <c r="C56" s="4">
        <v>55</v>
      </c>
      <c r="D56" s="6">
        <f>Data!C56</f>
        <v>90</v>
      </c>
      <c r="E56" s="23">
        <v>64.347210395794349</v>
      </c>
      <c r="F56" s="5">
        <v>25.652789604205651</v>
      </c>
      <c r="G56" s="5">
        <v>25.652789604205651</v>
      </c>
      <c r="H56" s="5">
        <v>658.06561447764147</v>
      </c>
      <c r="I56" s="5">
        <v>0.28503099560228501</v>
      </c>
    </row>
    <row r="57" spans="1:9" x14ac:dyDescent="0.25">
      <c r="A57" s="4"/>
      <c r="B57" s="4" t="s">
        <v>24</v>
      </c>
      <c r="C57" s="4">
        <v>56</v>
      </c>
      <c r="D57" s="6">
        <f>Data!C57</f>
        <v>219</v>
      </c>
      <c r="E57" s="23">
        <v>64.910379774471252</v>
      </c>
      <c r="F57" s="5">
        <v>154.08962022552873</v>
      </c>
      <c r="G57" s="5">
        <v>154.08962022552873</v>
      </c>
      <c r="H57" s="5">
        <v>23743.611061247673</v>
      </c>
      <c r="I57" s="5">
        <v>0.70360557180606731</v>
      </c>
    </row>
    <row r="58" spans="1:9" x14ac:dyDescent="0.25">
      <c r="A58" s="4"/>
      <c r="B58" s="4" t="s">
        <v>25</v>
      </c>
      <c r="C58" s="4">
        <v>57</v>
      </c>
      <c r="D58" s="6">
        <f>Data!C58</f>
        <v>206</v>
      </c>
      <c r="E58" s="23">
        <v>115.81525451349738</v>
      </c>
      <c r="F58" s="5">
        <v>90.184745486502621</v>
      </c>
      <c r="G58" s="5">
        <v>90.184745486502621</v>
      </c>
      <c r="H58" s="5">
        <v>8133.2883184652546</v>
      </c>
      <c r="I58" s="5">
        <v>0.43779002663350786</v>
      </c>
    </row>
    <row r="59" spans="1:9" x14ac:dyDescent="0.25">
      <c r="A59" s="4"/>
      <c r="B59" s="4" t="s">
        <v>26</v>
      </c>
      <c r="C59" s="4">
        <v>58</v>
      </c>
      <c r="D59" s="6">
        <f>Data!C59</f>
        <v>186</v>
      </c>
      <c r="E59" s="23">
        <v>168.36871358255871</v>
      </c>
      <c r="F59" s="5">
        <v>17.631286417441288</v>
      </c>
      <c r="G59" s="5">
        <v>17.631286417441288</v>
      </c>
      <c r="H59" s="5">
        <v>310.86226073384967</v>
      </c>
      <c r="I59" s="5">
        <v>9.4791862459361761E-2</v>
      </c>
    </row>
    <row r="60" spans="1:9" x14ac:dyDescent="0.25">
      <c r="A60" s="7"/>
      <c r="B60" s="7" t="s">
        <v>27</v>
      </c>
      <c r="C60" s="7">
        <v>59</v>
      </c>
      <c r="D60" s="8">
        <f>Data!C60</f>
        <v>140</v>
      </c>
      <c r="E60" s="23">
        <v>209.23248666459844</v>
      </c>
      <c r="F60" s="9">
        <v>-69.23248666459844</v>
      </c>
      <c r="G60" s="9">
        <v>69.23248666459844</v>
      </c>
      <c r="H60" s="9">
        <v>4793.1372097638005</v>
      </c>
      <c r="I60" s="9">
        <v>0.49451776188998886</v>
      </c>
    </row>
    <row r="61" spans="1:9" x14ac:dyDescent="0.25">
      <c r="A61" s="4"/>
      <c r="B61" s="4" t="s">
        <v>28</v>
      </c>
      <c r="C61" s="4">
        <v>60</v>
      </c>
      <c r="D61" s="4">
        <f>Data!C61</f>
        <v>61</v>
      </c>
      <c r="E61" s="23">
        <v>221.64630726389444</v>
      </c>
      <c r="F61" s="5">
        <v>-160.64630726389444</v>
      </c>
      <c r="G61" s="5">
        <v>160.64630726389444</v>
      </c>
      <c r="H61" s="5">
        <v>25807.236037525585</v>
      </c>
      <c r="I61" s="5">
        <v>2.6335460207195811</v>
      </c>
    </row>
    <row r="62" spans="1:9" x14ac:dyDescent="0.25">
      <c r="E62" s="24"/>
    </row>
    <row r="63" spans="1:9" x14ac:dyDescent="0.25">
      <c r="E63" s="24"/>
    </row>
    <row r="64" spans="1:9" x14ac:dyDescent="0.25">
      <c r="E64" s="24"/>
    </row>
    <row r="65" spans="5:5" x14ac:dyDescent="0.25">
      <c r="E65" s="24"/>
    </row>
    <row r="66" spans="5:5" x14ac:dyDescent="0.25">
      <c r="E66" s="24"/>
    </row>
    <row r="67" spans="5:5" x14ac:dyDescent="0.25">
      <c r="E67" s="24"/>
    </row>
    <row r="68" spans="5:5" x14ac:dyDescent="0.25">
      <c r="E68" s="24"/>
    </row>
    <row r="69" spans="5:5" x14ac:dyDescent="0.25">
      <c r="E69" s="24"/>
    </row>
    <row r="70" spans="5:5" x14ac:dyDescent="0.25">
      <c r="E70" s="24"/>
    </row>
  </sheetData>
  <sheetProtection algorithmName="SHA-512" hashValue="m7nLkH2gbAwtP60XcIeEeZtLeHrgQSPH4JO6VeRaDBCy9LbQ/g8M5GU18K/AXAo07ls0yirSU4Q82ew5yzJUYw==" saltValue="NV3T6O6GxZEMNheavIHtkw==" spinCount="100000" sheet="1" objects="1" scenarios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86322-D827-4305-A482-9014FDA358B7}">
  <sheetPr codeName="Sheet1"/>
  <dimension ref="A1:I61"/>
  <sheetViews>
    <sheetView workbookViewId="0"/>
  </sheetViews>
  <sheetFormatPr defaultRowHeight="15" x14ac:dyDescent="0.25"/>
  <cols>
    <col min="1" max="4" width="16.42578125" customWidth="1"/>
    <col min="7" max="7" width="17.5703125" bestFit="1" customWidth="1"/>
    <col min="8" max="8" width="13.140625" bestFit="1" customWidth="1"/>
    <col min="9" max="9" width="29" bestFit="1" customWidth="1"/>
  </cols>
  <sheetData>
    <row r="1" spans="1:9" x14ac:dyDescent="0.25">
      <c r="A1" s="4"/>
      <c r="B1" s="4" t="s">
        <v>0</v>
      </c>
      <c r="C1" s="4" t="s">
        <v>2</v>
      </c>
      <c r="D1" s="4" t="s">
        <v>13</v>
      </c>
      <c r="E1" t="s">
        <v>33</v>
      </c>
      <c r="F1" s="4" t="s">
        <v>34</v>
      </c>
      <c r="G1" s="10" t="s">
        <v>35</v>
      </c>
      <c r="H1" s="4" t="s">
        <v>36</v>
      </c>
      <c r="I1" s="4" t="s">
        <v>37</v>
      </c>
    </row>
    <row r="2" spans="1:9" x14ac:dyDescent="0.25">
      <c r="A2" s="4" t="s">
        <v>13</v>
      </c>
      <c r="B2" s="4" t="s">
        <v>14</v>
      </c>
      <c r="C2" s="4">
        <v>1</v>
      </c>
      <c r="D2" s="4">
        <f>Data!C2</f>
        <v>40</v>
      </c>
      <c r="E2" s="25"/>
      <c r="F2" s="4"/>
      <c r="G2" s="4"/>
      <c r="H2" s="4"/>
      <c r="I2" s="4"/>
    </row>
    <row r="3" spans="1:9" x14ac:dyDescent="0.25">
      <c r="A3" s="4"/>
      <c r="B3" s="4" t="s">
        <v>18</v>
      </c>
      <c r="C3" s="4">
        <v>2</v>
      </c>
      <c r="D3" s="4">
        <f>Data!C3</f>
        <v>214</v>
      </c>
      <c r="E3" s="25"/>
      <c r="F3" s="4"/>
      <c r="G3" s="4"/>
      <c r="H3" s="4"/>
      <c r="I3" s="4"/>
    </row>
    <row r="4" spans="1:9" x14ac:dyDescent="0.25">
      <c r="A4" s="4"/>
      <c r="B4" s="4" t="s">
        <v>19</v>
      </c>
      <c r="C4" s="4">
        <v>3</v>
      </c>
      <c r="D4" s="4">
        <f>Data!C4</f>
        <v>60</v>
      </c>
      <c r="E4" s="25"/>
      <c r="F4" s="4"/>
      <c r="G4" s="4"/>
      <c r="H4" s="4"/>
      <c r="I4" s="4"/>
    </row>
    <row r="5" spans="1:9" x14ac:dyDescent="0.25">
      <c r="A5" s="4"/>
      <c r="B5" s="4" t="s">
        <v>20</v>
      </c>
      <c r="C5" s="4">
        <v>4</v>
      </c>
      <c r="D5" s="4">
        <f>Data!C5</f>
        <v>138</v>
      </c>
      <c r="E5" s="25">
        <f>AVERAGE(D2:D4)</f>
        <v>104.66666666666667</v>
      </c>
      <c r="F5" s="4">
        <f>D5-E5</f>
        <v>33.333333333333329</v>
      </c>
      <c r="G5" s="4">
        <f>ABS(F5)</f>
        <v>33.333333333333329</v>
      </c>
      <c r="H5" s="4">
        <f>F5^2</f>
        <v>1111.1111111111109</v>
      </c>
      <c r="I5" s="4">
        <f>G5/D5</f>
        <v>0.24154589371980673</v>
      </c>
    </row>
    <row r="6" spans="1:9" x14ac:dyDescent="0.25">
      <c r="A6" s="4"/>
      <c r="B6" s="4" t="s">
        <v>21</v>
      </c>
      <c r="C6" s="4">
        <v>5</v>
      </c>
      <c r="D6" s="4">
        <f>Data!C6</f>
        <v>65</v>
      </c>
      <c r="E6" s="25">
        <f t="shared" ref="E6:E61" si="0">AVERAGE(D3:D5)</f>
        <v>137.33333333333334</v>
      </c>
      <c r="F6" s="4">
        <f t="shared" ref="F6:F61" si="1">D6-E6</f>
        <v>-72.333333333333343</v>
      </c>
      <c r="G6" s="4">
        <f t="shared" ref="G6:G61" si="2">ABS(F6)</f>
        <v>72.333333333333343</v>
      </c>
      <c r="H6" s="4">
        <f t="shared" ref="H6:H61" si="3">F6^2</f>
        <v>5232.1111111111122</v>
      </c>
      <c r="I6" s="4">
        <f t="shared" ref="I6:I61" si="4">G6/D6</f>
        <v>1.1128205128205129</v>
      </c>
    </row>
    <row r="7" spans="1:9" x14ac:dyDescent="0.25">
      <c r="A7" s="4"/>
      <c r="B7" s="4" t="s">
        <v>22</v>
      </c>
      <c r="C7" s="4">
        <v>6</v>
      </c>
      <c r="D7" s="4">
        <f>Data!C7</f>
        <v>36</v>
      </c>
      <c r="E7" s="25">
        <f t="shared" si="0"/>
        <v>87.666666666666671</v>
      </c>
      <c r="F7" s="4">
        <f t="shared" si="1"/>
        <v>-51.666666666666671</v>
      </c>
      <c r="G7" s="4">
        <f t="shared" si="2"/>
        <v>51.666666666666671</v>
      </c>
      <c r="H7" s="4">
        <f t="shared" si="3"/>
        <v>2669.4444444444448</v>
      </c>
      <c r="I7" s="4">
        <f t="shared" si="4"/>
        <v>1.4351851851851853</v>
      </c>
    </row>
    <row r="8" spans="1:9" x14ac:dyDescent="0.25">
      <c r="A8" s="4"/>
      <c r="B8" s="4" t="s">
        <v>23</v>
      </c>
      <c r="C8" s="4">
        <v>7</v>
      </c>
      <c r="D8" s="4">
        <f>Data!C8</f>
        <v>267</v>
      </c>
      <c r="E8" s="25">
        <f t="shared" si="0"/>
        <v>79.666666666666671</v>
      </c>
      <c r="F8" s="4">
        <f t="shared" si="1"/>
        <v>187.33333333333331</v>
      </c>
      <c r="G8" s="4">
        <f t="shared" si="2"/>
        <v>187.33333333333331</v>
      </c>
      <c r="H8" s="4">
        <f t="shared" si="3"/>
        <v>35093.777777777774</v>
      </c>
      <c r="I8" s="4">
        <f t="shared" si="4"/>
        <v>0.70162297128589257</v>
      </c>
    </row>
    <row r="9" spans="1:9" x14ac:dyDescent="0.25">
      <c r="A9" s="4"/>
      <c r="B9" s="4" t="s">
        <v>24</v>
      </c>
      <c r="C9" s="4">
        <v>8</v>
      </c>
      <c r="D9" s="4">
        <f>Data!C9</f>
        <v>103</v>
      </c>
      <c r="E9" s="25">
        <f t="shared" si="0"/>
        <v>122.66666666666667</v>
      </c>
      <c r="F9" s="4">
        <f t="shared" si="1"/>
        <v>-19.666666666666671</v>
      </c>
      <c r="G9" s="4">
        <f t="shared" si="2"/>
        <v>19.666666666666671</v>
      </c>
      <c r="H9" s="4">
        <f t="shared" si="3"/>
        <v>386.77777777777794</v>
      </c>
      <c r="I9" s="4">
        <f t="shared" si="4"/>
        <v>0.19093851132686088</v>
      </c>
    </row>
    <row r="10" spans="1:9" x14ac:dyDescent="0.25">
      <c r="A10" s="4"/>
      <c r="B10" s="4" t="s">
        <v>25</v>
      </c>
      <c r="C10" s="4">
        <v>9</v>
      </c>
      <c r="D10" s="4">
        <f>Data!C10</f>
        <v>164</v>
      </c>
      <c r="E10" s="25">
        <f t="shared" si="0"/>
        <v>135.33333333333334</v>
      </c>
      <c r="F10" s="4">
        <f t="shared" si="1"/>
        <v>28.666666666666657</v>
      </c>
      <c r="G10" s="4">
        <f t="shared" si="2"/>
        <v>28.666666666666657</v>
      </c>
      <c r="H10" s="4">
        <f t="shared" si="3"/>
        <v>821.77777777777726</v>
      </c>
      <c r="I10" s="4">
        <f t="shared" si="4"/>
        <v>0.17479674796747963</v>
      </c>
    </row>
    <row r="11" spans="1:9" x14ac:dyDescent="0.25">
      <c r="A11" s="4"/>
      <c r="B11" s="4" t="s">
        <v>26</v>
      </c>
      <c r="C11" s="4">
        <v>10</v>
      </c>
      <c r="D11" s="4">
        <f>Data!C11</f>
        <v>232</v>
      </c>
      <c r="E11" s="25">
        <f t="shared" si="0"/>
        <v>178</v>
      </c>
      <c r="F11" s="4">
        <f t="shared" si="1"/>
        <v>54</v>
      </c>
      <c r="G11" s="4">
        <f t="shared" si="2"/>
        <v>54</v>
      </c>
      <c r="H11" s="4">
        <f t="shared" si="3"/>
        <v>2916</v>
      </c>
      <c r="I11" s="4">
        <f t="shared" si="4"/>
        <v>0.23275862068965517</v>
      </c>
    </row>
    <row r="12" spans="1:9" x14ac:dyDescent="0.25">
      <c r="A12" s="4"/>
      <c r="B12" s="4" t="s">
        <v>27</v>
      </c>
      <c r="C12" s="4">
        <v>11</v>
      </c>
      <c r="D12" s="4">
        <f>Data!C12</f>
        <v>140</v>
      </c>
      <c r="E12" s="25">
        <f t="shared" si="0"/>
        <v>166.33333333333334</v>
      </c>
      <c r="F12" s="4">
        <f t="shared" si="1"/>
        <v>-26.333333333333343</v>
      </c>
      <c r="G12" s="4">
        <f t="shared" si="2"/>
        <v>26.333333333333343</v>
      </c>
      <c r="H12" s="4">
        <f t="shared" si="3"/>
        <v>693.44444444444491</v>
      </c>
      <c r="I12" s="4">
        <f t="shared" si="4"/>
        <v>0.18809523809523818</v>
      </c>
    </row>
    <row r="13" spans="1:9" x14ac:dyDescent="0.25">
      <c r="A13" s="4"/>
      <c r="B13" s="4" t="s">
        <v>28</v>
      </c>
      <c r="C13" s="4">
        <v>12</v>
      </c>
      <c r="D13" s="4">
        <f>Data!C13</f>
        <v>132</v>
      </c>
      <c r="E13" s="25">
        <f t="shared" si="0"/>
        <v>178.66666666666666</v>
      </c>
      <c r="F13" s="4">
        <f t="shared" si="1"/>
        <v>-46.666666666666657</v>
      </c>
      <c r="G13" s="4">
        <f t="shared" si="2"/>
        <v>46.666666666666657</v>
      </c>
      <c r="H13" s="4">
        <f t="shared" si="3"/>
        <v>2177.7777777777769</v>
      </c>
      <c r="I13" s="4">
        <f t="shared" si="4"/>
        <v>0.35353535353535348</v>
      </c>
    </row>
    <row r="14" spans="1:9" x14ac:dyDescent="0.25">
      <c r="A14" s="4" t="s">
        <v>29</v>
      </c>
      <c r="B14" s="4" t="s">
        <v>14</v>
      </c>
      <c r="C14" s="4">
        <v>13</v>
      </c>
      <c r="D14" s="4">
        <f>Data!C14</f>
        <v>59</v>
      </c>
      <c r="E14" s="25">
        <f t="shared" si="0"/>
        <v>168</v>
      </c>
      <c r="F14" s="4">
        <f t="shared" si="1"/>
        <v>-109</v>
      </c>
      <c r="G14" s="4">
        <f t="shared" si="2"/>
        <v>109</v>
      </c>
      <c r="H14" s="4">
        <f t="shared" si="3"/>
        <v>11881</v>
      </c>
      <c r="I14" s="4">
        <f t="shared" si="4"/>
        <v>1.847457627118644</v>
      </c>
    </row>
    <row r="15" spans="1:9" x14ac:dyDescent="0.25">
      <c r="A15" s="4"/>
      <c r="B15" s="4" t="s">
        <v>18</v>
      </c>
      <c r="C15" s="4">
        <v>14</v>
      </c>
      <c r="D15" s="4">
        <f>Data!C15</f>
        <v>228</v>
      </c>
      <c r="E15" s="25">
        <f t="shared" si="0"/>
        <v>110.33333333333333</v>
      </c>
      <c r="F15" s="4">
        <f t="shared" si="1"/>
        <v>117.66666666666667</v>
      </c>
      <c r="G15" s="4">
        <f t="shared" si="2"/>
        <v>117.66666666666667</v>
      </c>
      <c r="H15" s="4">
        <f t="shared" si="3"/>
        <v>13845.444444444445</v>
      </c>
      <c r="I15" s="4">
        <f t="shared" si="4"/>
        <v>0.51608187134502925</v>
      </c>
    </row>
    <row r="16" spans="1:9" x14ac:dyDescent="0.25">
      <c r="A16" s="4"/>
      <c r="B16" s="4" t="s">
        <v>19</v>
      </c>
      <c r="C16" s="4">
        <v>15</v>
      </c>
      <c r="D16" s="4">
        <f>Data!C16</f>
        <v>51</v>
      </c>
      <c r="E16" s="25">
        <f t="shared" si="0"/>
        <v>139.66666666666666</v>
      </c>
      <c r="F16" s="4">
        <f t="shared" si="1"/>
        <v>-88.666666666666657</v>
      </c>
      <c r="G16" s="4">
        <f t="shared" si="2"/>
        <v>88.666666666666657</v>
      </c>
      <c r="H16" s="4">
        <f t="shared" si="3"/>
        <v>7861.7777777777765</v>
      </c>
      <c r="I16" s="4">
        <f t="shared" si="4"/>
        <v>1.7385620915032678</v>
      </c>
    </row>
    <row r="17" spans="1:9" x14ac:dyDescent="0.25">
      <c r="A17" s="4"/>
      <c r="B17" s="4" t="s">
        <v>20</v>
      </c>
      <c r="C17" s="4">
        <v>16</v>
      </c>
      <c r="D17" s="4">
        <f>Data!C17</f>
        <v>123</v>
      </c>
      <c r="E17" s="25">
        <f t="shared" si="0"/>
        <v>112.66666666666667</v>
      </c>
      <c r="F17" s="4">
        <f t="shared" si="1"/>
        <v>10.333333333333329</v>
      </c>
      <c r="G17" s="4">
        <f t="shared" si="2"/>
        <v>10.333333333333329</v>
      </c>
      <c r="H17" s="4">
        <f t="shared" si="3"/>
        <v>106.77777777777769</v>
      </c>
      <c r="I17" s="4">
        <f t="shared" si="4"/>
        <v>8.4010840108401041E-2</v>
      </c>
    </row>
    <row r="18" spans="1:9" x14ac:dyDescent="0.25">
      <c r="A18" s="4"/>
      <c r="B18" s="4" t="s">
        <v>21</v>
      </c>
      <c r="C18" s="4">
        <v>17</v>
      </c>
      <c r="D18" s="4">
        <f>Data!C18</f>
        <v>98</v>
      </c>
      <c r="E18" s="25">
        <f t="shared" si="0"/>
        <v>134</v>
      </c>
      <c r="F18" s="4">
        <f t="shared" si="1"/>
        <v>-36</v>
      </c>
      <c r="G18" s="4">
        <f t="shared" si="2"/>
        <v>36</v>
      </c>
      <c r="H18" s="4">
        <f t="shared" si="3"/>
        <v>1296</v>
      </c>
      <c r="I18" s="4">
        <f t="shared" si="4"/>
        <v>0.36734693877551022</v>
      </c>
    </row>
    <row r="19" spans="1:9" x14ac:dyDescent="0.25">
      <c r="A19" s="4"/>
      <c r="B19" s="4" t="s">
        <v>22</v>
      </c>
      <c r="C19" s="4">
        <v>18</v>
      </c>
      <c r="D19" s="4">
        <f>Data!C19</f>
        <v>124</v>
      </c>
      <c r="E19" s="25">
        <f t="shared" si="0"/>
        <v>90.666666666666671</v>
      </c>
      <c r="F19" s="4">
        <f t="shared" si="1"/>
        <v>33.333333333333329</v>
      </c>
      <c r="G19" s="4">
        <f t="shared" si="2"/>
        <v>33.333333333333329</v>
      </c>
      <c r="H19" s="4">
        <f t="shared" si="3"/>
        <v>1111.1111111111109</v>
      </c>
      <c r="I19" s="4">
        <f t="shared" si="4"/>
        <v>0.26881720430107525</v>
      </c>
    </row>
    <row r="20" spans="1:9" x14ac:dyDescent="0.25">
      <c r="A20" s="4"/>
      <c r="B20" s="4" t="s">
        <v>23</v>
      </c>
      <c r="C20" s="4">
        <v>19</v>
      </c>
      <c r="D20" s="4">
        <f>Data!C20</f>
        <v>163</v>
      </c>
      <c r="E20" s="25">
        <f t="shared" si="0"/>
        <v>115</v>
      </c>
      <c r="F20" s="4">
        <f t="shared" si="1"/>
        <v>48</v>
      </c>
      <c r="G20" s="4">
        <f t="shared" si="2"/>
        <v>48</v>
      </c>
      <c r="H20" s="4">
        <f t="shared" si="3"/>
        <v>2304</v>
      </c>
      <c r="I20" s="4">
        <f t="shared" si="4"/>
        <v>0.29447852760736198</v>
      </c>
    </row>
    <row r="21" spans="1:9" x14ac:dyDescent="0.25">
      <c r="A21" s="4"/>
      <c r="B21" s="4" t="s">
        <v>24</v>
      </c>
      <c r="C21" s="4">
        <v>20</v>
      </c>
      <c r="D21" s="4">
        <f>Data!C21</f>
        <v>357</v>
      </c>
      <c r="E21" s="25">
        <f t="shared" si="0"/>
        <v>128.33333333333334</v>
      </c>
      <c r="F21" s="4">
        <f t="shared" si="1"/>
        <v>228.66666666666666</v>
      </c>
      <c r="G21" s="4">
        <f t="shared" si="2"/>
        <v>228.66666666666666</v>
      </c>
      <c r="H21" s="4">
        <f t="shared" si="3"/>
        <v>52288.444444444438</v>
      </c>
      <c r="I21" s="4">
        <f t="shared" si="4"/>
        <v>0.64052287581699341</v>
      </c>
    </row>
    <row r="22" spans="1:9" x14ac:dyDescent="0.25">
      <c r="A22" s="4"/>
      <c r="B22" s="4" t="s">
        <v>25</v>
      </c>
      <c r="C22" s="4">
        <v>21</v>
      </c>
      <c r="D22" s="4">
        <f>Data!C22</f>
        <v>133</v>
      </c>
      <c r="E22" s="25">
        <f t="shared" si="0"/>
        <v>214.66666666666666</v>
      </c>
      <c r="F22" s="4">
        <f t="shared" si="1"/>
        <v>-81.666666666666657</v>
      </c>
      <c r="G22" s="4">
        <f t="shared" si="2"/>
        <v>81.666666666666657</v>
      </c>
      <c r="H22" s="4">
        <f t="shared" si="3"/>
        <v>6669.4444444444425</v>
      </c>
      <c r="I22" s="4">
        <f t="shared" si="4"/>
        <v>0.61403508771929816</v>
      </c>
    </row>
    <row r="23" spans="1:9" x14ac:dyDescent="0.25">
      <c r="A23" s="4"/>
      <c r="B23" s="4" t="s">
        <v>26</v>
      </c>
      <c r="C23" s="4">
        <v>22</v>
      </c>
      <c r="D23" s="4">
        <f>Data!C23</f>
        <v>161</v>
      </c>
      <c r="E23" s="25">
        <f t="shared" si="0"/>
        <v>217.66666666666666</v>
      </c>
      <c r="F23" s="4">
        <f t="shared" si="1"/>
        <v>-56.666666666666657</v>
      </c>
      <c r="G23" s="4">
        <f t="shared" si="2"/>
        <v>56.666666666666657</v>
      </c>
      <c r="H23" s="4">
        <f t="shared" si="3"/>
        <v>3211.1111111111099</v>
      </c>
      <c r="I23" s="4">
        <f t="shared" si="4"/>
        <v>0.3519668737060041</v>
      </c>
    </row>
    <row r="24" spans="1:9" x14ac:dyDescent="0.25">
      <c r="A24" s="4"/>
      <c r="B24" s="4" t="s">
        <v>27</v>
      </c>
      <c r="C24" s="4">
        <v>23</v>
      </c>
      <c r="D24" s="4">
        <f>Data!C24</f>
        <v>157</v>
      </c>
      <c r="E24" s="25">
        <f t="shared" si="0"/>
        <v>217</v>
      </c>
      <c r="F24" s="4">
        <f t="shared" si="1"/>
        <v>-60</v>
      </c>
      <c r="G24" s="4">
        <f t="shared" si="2"/>
        <v>60</v>
      </c>
      <c r="H24" s="4">
        <f t="shared" si="3"/>
        <v>3600</v>
      </c>
      <c r="I24" s="4">
        <f t="shared" si="4"/>
        <v>0.38216560509554143</v>
      </c>
    </row>
    <row r="25" spans="1:9" x14ac:dyDescent="0.25">
      <c r="A25" s="4"/>
      <c r="B25" s="4" t="s">
        <v>28</v>
      </c>
      <c r="C25" s="4">
        <v>24</v>
      </c>
      <c r="D25" s="4">
        <f>Data!C25</f>
        <v>51</v>
      </c>
      <c r="E25" s="25">
        <f t="shared" si="0"/>
        <v>150.33333333333334</v>
      </c>
      <c r="F25" s="4">
        <f t="shared" si="1"/>
        <v>-99.333333333333343</v>
      </c>
      <c r="G25" s="4">
        <f t="shared" si="2"/>
        <v>99.333333333333343</v>
      </c>
      <c r="H25" s="4">
        <f t="shared" si="3"/>
        <v>9867.1111111111131</v>
      </c>
      <c r="I25" s="4">
        <f t="shared" si="4"/>
        <v>1.9477124183006538</v>
      </c>
    </row>
    <row r="26" spans="1:9" x14ac:dyDescent="0.25">
      <c r="A26" s="4" t="s">
        <v>30</v>
      </c>
      <c r="B26" s="4" t="s">
        <v>14</v>
      </c>
      <c r="C26" s="4">
        <v>25</v>
      </c>
      <c r="D26" s="4">
        <f>Data!C26</f>
        <v>140</v>
      </c>
      <c r="E26" s="25">
        <f t="shared" si="0"/>
        <v>123</v>
      </c>
      <c r="F26" s="4">
        <f t="shared" si="1"/>
        <v>17</v>
      </c>
      <c r="G26" s="4">
        <f t="shared" si="2"/>
        <v>17</v>
      </c>
      <c r="H26" s="4">
        <f t="shared" si="3"/>
        <v>289</v>
      </c>
      <c r="I26" s="4">
        <f t="shared" si="4"/>
        <v>0.12142857142857143</v>
      </c>
    </row>
    <row r="27" spans="1:9" x14ac:dyDescent="0.25">
      <c r="A27" s="4"/>
      <c r="B27" s="4" t="s">
        <v>18</v>
      </c>
      <c r="C27" s="4">
        <v>26</v>
      </c>
      <c r="D27" s="4">
        <f>Data!C27</f>
        <v>105</v>
      </c>
      <c r="E27" s="25">
        <f t="shared" si="0"/>
        <v>116</v>
      </c>
      <c r="F27" s="4">
        <f t="shared" si="1"/>
        <v>-11</v>
      </c>
      <c r="G27" s="4">
        <f t="shared" si="2"/>
        <v>11</v>
      </c>
      <c r="H27" s="4">
        <f t="shared" si="3"/>
        <v>121</v>
      </c>
      <c r="I27" s="4">
        <f t="shared" si="4"/>
        <v>0.10476190476190476</v>
      </c>
    </row>
    <row r="28" spans="1:9" x14ac:dyDescent="0.25">
      <c r="A28" s="4"/>
      <c r="B28" s="4" t="s">
        <v>19</v>
      </c>
      <c r="C28" s="4">
        <v>27</v>
      </c>
      <c r="D28" s="4">
        <f>Data!C28</f>
        <v>147</v>
      </c>
      <c r="E28" s="25">
        <f t="shared" si="0"/>
        <v>98.666666666666671</v>
      </c>
      <c r="F28" s="4">
        <f t="shared" si="1"/>
        <v>48.333333333333329</v>
      </c>
      <c r="G28" s="4">
        <f t="shared" si="2"/>
        <v>48.333333333333329</v>
      </c>
      <c r="H28" s="4">
        <f t="shared" si="3"/>
        <v>2336.1111111111109</v>
      </c>
      <c r="I28" s="4">
        <f t="shared" si="4"/>
        <v>0.32879818594104304</v>
      </c>
    </row>
    <row r="29" spans="1:9" x14ac:dyDescent="0.25">
      <c r="A29" s="4"/>
      <c r="B29" s="4" t="s">
        <v>20</v>
      </c>
      <c r="C29" s="4">
        <v>28</v>
      </c>
      <c r="D29" s="4">
        <f>Data!C29</f>
        <v>88</v>
      </c>
      <c r="E29" s="25">
        <f t="shared" si="0"/>
        <v>130.66666666666666</v>
      </c>
      <c r="F29" s="4">
        <f t="shared" si="1"/>
        <v>-42.666666666666657</v>
      </c>
      <c r="G29" s="4">
        <f t="shared" si="2"/>
        <v>42.666666666666657</v>
      </c>
      <c r="H29" s="4">
        <f t="shared" si="3"/>
        <v>1820.4444444444437</v>
      </c>
      <c r="I29" s="4">
        <f t="shared" si="4"/>
        <v>0.48484848484848475</v>
      </c>
    </row>
    <row r="30" spans="1:9" x14ac:dyDescent="0.25">
      <c r="A30" s="4"/>
      <c r="B30" s="4" t="s">
        <v>21</v>
      </c>
      <c r="C30" s="4">
        <v>29</v>
      </c>
      <c r="D30" s="4">
        <f>Data!C30</f>
        <v>83</v>
      </c>
      <c r="E30" s="25">
        <f t="shared" si="0"/>
        <v>113.33333333333333</v>
      </c>
      <c r="F30" s="4">
        <f t="shared" si="1"/>
        <v>-30.333333333333329</v>
      </c>
      <c r="G30" s="4">
        <f t="shared" si="2"/>
        <v>30.333333333333329</v>
      </c>
      <c r="H30" s="4">
        <f t="shared" si="3"/>
        <v>920.11111111111086</v>
      </c>
      <c r="I30" s="4">
        <f t="shared" si="4"/>
        <v>0.36546184738955817</v>
      </c>
    </row>
    <row r="31" spans="1:9" x14ac:dyDescent="0.25">
      <c r="A31" s="4"/>
      <c r="B31" s="4" t="s">
        <v>22</v>
      </c>
      <c r="C31" s="4">
        <v>30</v>
      </c>
      <c r="D31" s="4">
        <f>Data!C31</f>
        <v>77</v>
      </c>
      <c r="E31" s="25">
        <f t="shared" si="0"/>
        <v>106</v>
      </c>
      <c r="F31" s="4">
        <f t="shared" si="1"/>
        <v>-29</v>
      </c>
      <c r="G31" s="4">
        <f t="shared" si="2"/>
        <v>29</v>
      </c>
      <c r="H31" s="4">
        <f t="shared" si="3"/>
        <v>841</v>
      </c>
      <c r="I31" s="4">
        <f t="shared" si="4"/>
        <v>0.37662337662337664</v>
      </c>
    </row>
    <row r="32" spans="1:9" x14ac:dyDescent="0.25">
      <c r="A32" s="4"/>
      <c r="B32" s="4" t="s">
        <v>23</v>
      </c>
      <c r="C32" s="4">
        <v>31</v>
      </c>
      <c r="D32" s="4">
        <f>Data!C32</f>
        <v>89</v>
      </c>
      <c r="E32" s="25">
        <f t="shared" si="0"/>
        <v>82.666666666666671</v>
      </c>
      <c r="F32" s="4">
        <f t="shared" si="1"/>
        <v>6.3333333333333286</v>
      </c>
      <c r="G32" s="4">
        <f t="shared" si="2"/>
        <v>6.3333333333333286</v>
      </c>
      <c r="H32" s="4">
        <f t="shared" si="3"/>
        <v>40.11111111111105</v>
      </c>
      <c r="I32" s="4">
        <f t="shared" si="4"/>
        <v>7.1161048689138529E-2</v>
      </c>
    </row>
    <row r="33" spans="1:9" x14ac:dyDescent="0.25">
      <c r="A33" s="4"/>
      <c r="B33" s="4" t="s">
        <v>24</v>
      </c>
      <c r="C33" s="4">
        <v>32</v>
      </c>
      <c r="D33" s="4">
        <f>Data!C33</f>
        <v>154</v>
      </c>
      <c r="E33" s="25">
        <f t="shared" si="0"/>
        <v>83</v>
      </c>
      <c r="F33" s="4">
        <f t="shared" si="1"/>
        <v>71</v>
      </c>
      <c r="G33" s="4">
        <f t="shared" si="2"/>
        <v>71</v>
      </c>
      <c r="H33" s="4">
        <f t="shared" si="3"/>
        <v>5041</v>
      </c>
      <c r="I33" s="4">
        <f t="shared" si="4"/>
        <v>0.46103896103896103</v>
      </c>
    </row>
    <row r="34" spans="1:9" x14ac:dyDescent="0.25">
      <c r="A34" s="4"/>
      <c r="B34" s="4" t="s">
        <v>25</v>
      </c>
      <c r="C34" s="4">
        <v>33</v>
      </c>
      <c r="D34" s="4">
        <f>Data!C34</f>
        <v>140</v>
      </c>
      <c r="E34" s="25">
        <f t="shared" si="0"/>
        <v>106.66666666666667</v>
      </c>
      <c r="F34" s="4">
        <f t="shared" si="1"/>
        <v>33.333333333333329</v>
      </c>
      <c r="G34" s="4">
        <f t="shared" si="2"/>
        <v>33.333333333333329</v>
      </c>
      <c r="H34" s="4">
        <f t="shared" si="3"/>
        <v>1111.1111111111109</v>
      </c>
      <c r="I34" s="4">
        <f t="shared" si="4"/>
        <v>0.23809523809523805</v>
      </c>
    </row>
    <row r="35" spans="1:9" x14ac:dyDescent="0.25">
      <c r="A35" s="4"/>
      <c r="B35" s="4" t="s">
        <v>26</v>
      </c>
      <c r="C35" s="4">
        <v>34</v>
      </c>
      <c r="D35" s="4">
        <f>Data!C35</f>
        <v>148</v>
      </c>
      <c r="E35" s="25">
        <f t="shared" si="0"/>
        <v>127.66666666666667</v>
      </c>
      <c r="F35" s="4">
        <f t="shared" si="1"/>
        <v>20.333333333333329</v>
      </c>
      <c r="G35" s="4">
        <f t="shared" si="2"/>
        <v>20.333333333333329</v>
      </c>
      <c r="H35" s="4">
        <f t="shared" si="3"/>
        <v>413.44444444444423</v>
      </c>
      <c r="I35" s="4">
        <f t="shared" si="4"/>
        <v>0.13738738738738734</v>
      </c>
    </row>
    <row r="36" spans="1:9" x14ac:dyDescent="0.25">
      <c r="A36" s="4"/>
      <c r="B36" s="4" t="s">
        <v>27</v>
      </c>
      <c r="C36" s="4">
        <v>35</v>
      </c>
      <c r="D36" s="4">
        <f>Data!C36</f>
        <v>125</v>
      </c>
      <c r="E36" s="25">
        <f t="shared" si="0"/>
        <v>147.33333333333334</v>
      </c>
      <c r="F36" s="4">
        <f t="shared" si="1"/>
        <v>-22.333333333333343</v>
      </c>
      <c r="G36" s="4">
        <f t="shared" si="2"/>
        <v>22.333333333333343</v>
      </c>
      <c r="H36" s="4">
        <f t="shared" si="3"/>
        <v>498.77777777777823</v>
      </c>
      <c r="I36" s="4">
        <f t="shared" si="4"/>
        <v>0.17866666666666675</v>
      </c>
    </row>
    <row r="37" spans="1:9" x14ac:dyDescent="0.25">
      <c r="A37" s="4"/>
      <c r="B37" s="4" t="s">
        <v>28</v>
      </c>
      <c r="C37" s="4">
        <v>36</v>
      </c>
      <c r="D37" s="4">
        <f>Data!C37</f>
        <v>83</v>
      </c>
      <c r="E37" s="25">
        <f t="shared" si="0"/>
        <v>137.66666666666666</v>
      </c>
      <c r="F37" s="4">
        <f t="shared" si="1"/>
        <v>-54.666666666666657</v>
      </c>
      <c r="G37" s="4">
        <f t="shared" si="2"/>
        <v>54.666666666666657</v>
      </c>
      <c r="H37" s="4">
        <f t="shared" si="3"/>
        <v>2988.4444444444434</v>
      </c>
      <c r="I37" s="4">
        <f t="shared" si="4"/>
        <v>0.6586345381526103</v>
      </c>
    </row>
    <row r="38" spans="1:9" x14ac:dyDescent="0.25">
      <c r="A38" s="4" t="s">
        <v>31</v>
      </c>
      <c r="B38" s="4" t="s">
        <v>14</v>
      </c>
      <c r="C38" s="4">
        <v>37</v>
      </c>
      <c r="D38" s="4">
        <f>Data!C38</f>
        <v>238</v>
      </c>
      <c r="E38" s="25">
        <f t="shared" si="0"/>
        <v>118.66666666666667</v>
      </c>
      <c r="F38" s="4">
        <f t="shared" si="1"/>
        <v>119.33333333333333</v>
      </c>
      <c r="G38" s="4">
        <f t="shared" si="2"/>
        <v>119.33333333333333</v>
      </c>
      <c r="H38" s="4">
        <f t="shared" si="3"/>
        <v>14240.444444444443</v>
      </c>
      <c r="I38" s="4">
        <f t="shared" si="4"/>
        <v>0.50140056022408963</v>
      </c>
    </row>
    <row r="39" spans="1:9" x14ac:dyDescent="0.25">
      <c r="A39" s="4"/>
      <c r="B39" s="4" t="s">
        <v>18</v>
      </c>
      <c r="C39" s="4">
        <v>38</v>
      </c>
      <c r="D39" s="4">
        <f>Data!C39</f>
        <v>136</v>
      </c>
      <c r="E39" s="25">
        <f t="shared" si="0"/>
        <v>148.66666666666666</v>
      </c>
      <c r="F39" s="4">
        <f t="shared" si="1"/>
        <v>-12.666666666666657</v>
      </c>
      <c r="G39" s="4">
        <f t="shared" si="2"/>
        <v>12.666666666666657</v>
      </c>
      <c r="H39" s="4">
        <f t="shared" si="3"/>
        <v>160.4444444444442</v>
      </c>
      <c r="I39" s="4">
        <f t="shared" si="4"/>
        <v>9.3137254901960717E-2</v>
      </c>
    </row>
    <row r="40" spans="1:9" x14ac:dyDescent="0.25">
      <c r="A40" s="4"/>
      <c r="B40" s="4" t="s">
        <v>19</v>
      </c>
      <c r="C40" s="4">
        <v>39</v>
      </c>
      <c r="D40" s="4">
        <f>Data!C40</f>
        <v>42</v>
      </c>
      <c r="E40" s="25">
        <f t="shared" si="0"/>
        <v>152.33333333333334</v>
      </c>
      <c r="F40" s="4">
        <f t="shared" si="1"/>
        <v>-110.33333333333334</v>
      </c>
      <c r="G40" s="4">
        <f t="shared" si="2"/>
        <v>110.33333333333334</v>
      </c>
      <c r="H40" s="4">
        <f t="shared" si="3"/>
        <v>12173.444444444447</v>
      </c>
      <c r="I40" s="4">
        <f t="shared" si="4"/>
        <v>2.6269841269841274</v>
      </c>
    </row>
    <row r="41" spans="1:9" x14ac:dyDescent="0.25">
      <c r="A41" s="4"/>
      <c r="B41" s="4" t="s">
        <v>20</v>
      </c>
      <c r="C41" s="4">
        <v>40</v>
      </c>
      <c r="D41" s="4">
        <f>Data!C41</f>
        <v>70</v>
      </c>
      <c r="E41" s="25">
        <f t="shared" si="0"/>
        <v>138.66666666666666</v>
      </c>
      <c r="F41" s="4">
        <f t="shared" si="1"/>
        <v>-68.666666666666657</v>
      </c>
      <c r="G41" s="4">
        <f t="shared" si="2"/>
        <v>68.666666666666657</v>
      </c>
      <c r="H41" s="4">
        <f t="shared" si="3"/>
        <v>4715.1111111111095</v>
      </c>
      <c r="I41" s="4">
        <f t="shared" si="4"/>
        <v>0.9809523809523808</v>
      </c>
    </row>
    <row r="42" spans="1:9" x14ac:dyDescent="0.25">
      <c r="A42" s="4"/>
      <c r="B42" s="4" t="s">
        <v>21</v>
      </c>
      <c r="C42" s="4">
        <v>41</v>
      </c>
      <c r="D42" s="4">
        <f>Data!C42</f>
        <v>64</v>
      </c>
      <c r="E42" s="25">
        <f t="shared" si="0"/>
        <v>82.666666666666671</v>
      </c>
      <c r="F42" s="4">
        <f t="shared" si="1"/>
        <v>-18.666666666666671</v>
      </c>
      <c r="G42" s="4">
        <f t="shared" si="2"/>
        <v>18.666666666666671</v>
      </c>
      <c r="H42" s="4">
        <f t="shared" si="3"/>
        <v>348.44444444444463</v>
      </c>
      <c r="I42" s="4">
        <f t="shared" si="4"/>
        <v>0.29166666666666674</v>
      </c>
    </row>
    <row r="43" spans="1:9" x14ac:dyDescent="0.25">
      <c r="A43" s="4"/>
      <c r="B43" s="4" t="s">
        <v>22</v>
      </c>
      <c r="C43" s="4">
        <v>42</v>
      </c>
      <c r="D43" s="4">
        <f>Data!C43</f>
        <v>66</v>
      </c>
      <c r="E43" s="25">
        <f t="shared" si="0"/>
        <v>58.666666666666664</v>
      </c>
      <c r="F43" s="4">
        <f t="shared" si="1"/>
        <v>7.3333333333333357</v>
      </c>
      <c r="G43" s="4">
        <f t="shared" si="2"/>
        <v>7.3333333333333357</v>
      </c>
      <c r="H43" s="4">
        <f t="shared" si="3"/>
        <v>53.777777777777814</v>
      </c>
      <c r="I43" s="4">
        <f t="shared" si="4"/>
        <v>0.11111111111111115</v>
      </c>
    </row>
    <row r="44" spans="1:9" x14ac:dyDescent="0.25">
      <c r="A44" s="4"/>
      <c r="B44" s="4" t="s">
        <v>23</v>
      </c>
      <c r="C44" s="4">
        <v>43</v>
      </c>
      <c r="D44" s="4">
        <f>Data!C44</f>
        <v>215</v>
      </c>
      <c r="E44" s="25">
        <f t="shared" si="0"/>
        <v>66.666666666666671</v>
      </c>
      <c r="F44" s="4">
        <f t="shared" si="1"/>
        <v>148.33333333333331</v>
      </c>
      <c r="G44" s="4">
        <f t="shared" si="2"/>
        <v>148.33333333333331</v>
      </c>
      <c r="H44" s="4">
        <f t="shared" si="3"/>
        <v>22002.777777777774</v>
      </c>
      <c r="I44" s="4">
        <f t="shared" si="4"/>
        <v>0.68992248062015493</v>
      </c>
    </row>
    <row r="45" spans="1:9" x14ac:dyDescent="0.25">
      <c r="A45" s="4"/>
      <c r="B45" s="4" t="s">
        <v>24</v>
      </c>
      <c r="C45" s="4">
        <v>44</v>
      </c>
      <c r="D45" s="4">
        <f>Data!C45</f>
        <v>242</v>
      </c>
      <c r="E45" s="25">
        <f t="shared" si="0"/>
        <v>115</v>
      </c>
      <c r="F45" s="4">
        <f t="shared" si="1"/>
        <v>127</v>
      </c>
      <c r="G45" s="4">
        <f t="shared" si="2"/>
        <v>127</v>
      </c>
      <c r="H45" s="4">
        <f t="shared" si="3"/>
        <v>16129</v>
      </c>
      <c r="I45" s="4">
        <f t="shared" si="4"/>
        <v>0.52479338842975209</v>
      </c>
    </row>
    <row r="46" spans="1:9" x14ac:dyDescent="0.25">
      <c r="A46" s="4"/>
      <c r="B46" s="4" t="s">
        <v>25</v>
      </c>
      <c r="C46" s="4">
        <v>45</v>
      </c>
      <c r="D46" s="4">
        <f>Data!C46</f>
        <v>209</v>
      </c>
      <c r="E46" s="25">
        <f t="shared" si="0"/>
        <v>174.33333333333334</v>
      </c>
      <c r="F46" s="4">
        <f t="shared" si="1"/>
        <v>34.666666666666657</v>
      </c>
      <c r="G46" s="4">
        <f t="shared" si="2"/>
        <v>34.666666666666657</v>
      </c>
      <c r="H46" s="4">
        <f t="shared" si="3"/>
        <v>1201.7777777777771</v>
      </c>
      <c r="I46" s="4">
        <f t="shared" si="4"/>
        <v>0.16586921850079742</v>
      </c>
    </row>
    <row r="47" spans="1:9" x14ac:dyDescent="0.25">
      <c r="A47" s="4"/>
      <c r="B47" s="4" t="s">
        <v>26</v>
      </c>
      <c r="C47" s="4">
        <v>46</v>
      </c>
      <c r="D47" s="4">
        <f>Data!C47</f>
        <v>106</v>
      </c>
      <c r="E47" s="25">
        <f t="shared" si="0"/>
        <v>222</v>
      </c>
      <c r="F47" s="4">
        <f t="shared" si="1"/>
        <v>-116</v>
      </c>
      <c r="G47" s="4">
        <f t="shared" si="2"/>
        <v>116</v>
      </c>
      <c r="H47" s="4">
        <f t="shared" si="3"/>
        <v>13456</v>
      </c>
      <c r="I47" s="4">
        <f t="shared" si="4"/>
        <v>1.0943396226415094</v>
      </c>
    </row>
    <row r="48" spans="1:9" x14ac:dyDescent="0.25">
      <c r="A48" s="4"/>
      <c r="B48" s="4" t="s">
        <v>27</v>
      </c>
      <c r="C48" s="4">
        <v>47</v>
      </c>
      <c r="D48" s="4">
        <f>Data!C48</f>
        <v>166</v>
      </c>
      <c r="E48" s="25">
        <f t="shared" si="0"/>
        <v>185.66666666666666</v>
      </c>
      <c r="F48" s="4">
        <f t="shared" si="1"/>
        <v>-19.666666666666657</v>
      </c>
      <c r="G48" s="4">
        <f t="shared" si="2"/>
        <v>19.666666666666657</v>
      </c>
      <c r="H48" s="4">
        <f t="shared" si="3"/>
        <v>386.77777777777743</v>
      </c>
      <c r="I48" s="4">
        <f t="shared" si="4"/>
        <v>0.11847389558232926</v>
      </c>
    </row>
    <row r="49" spans="1:9" x14ac:dyDescent="0.25">
      <c r="A49" s="4"/>
      <c r="B49" s="4" t="s">
        <v>28</v>
      </c>
      <c r="C49" s="4">
        <v>48</v>
      </c>
      <c r="D49" s="4">
        <f>Data!C49</f>
        <v>97</v>
      </c>
      <c r="E49" s="25">
        <f t="shared" si="0"/>
        <v>160.33333333333334</v>
      </c>
      <c r="F49" s="4">
        <f t="shared" si="1"/>
        <v>-63.333333333333343</v>
      </c>
      <c r="G49" s="4">
        <f t="shared" si="2"/>
        <v>63.333333333333343</v>
      </c>
      <c r="H49" s="4">
        <f t="shared" si="3"/>
        <v>4011.1111111111122</v>
      </c>
      <c r="I49" s="4">
        <f t="shared" si="4"/>
        <v>0.65292096219931284</v>
      </c>
    </row>
    <row r="50" spans="1:9" x14ac:dyDescent="0.25">
      <c r="A50" s="4" t="s">
        <v>32</v>
      </c>
      <c r="B50" s="4" t="s">
        <v>14</v>
      </c>
      <c r="C50" s="4">
        <v>49</v>
      </c>
      <c r="D50" s="4">
        <f>Data!C50</f>
        <v>96</v>
      </c>
      <c r="E50" s="25">
        <f t="shared" si="0"/>
        <v>123</v>
      </c>
      <c r="F50" s="4">
        <f t="shared" si="1"/>
        <v>-27</v>
      </c>
      <c r="G50" s="4">
        <f t="shared" si="2"/>
        <v>27</v>
      </c>
      <c r="H50" s="4">
        <f t="shared" si="3"/>
        <v>729</v>
      </c>
      <c r="I50" s="4">
        <f t="shared" si="4"/>
        <v>0.28125</v>
      </c>
    </row>
    <row r="51" spans="1:9" x14ac:dyDescent="0.25">
      <c r="A51" s="4"/>
      <c r="B51" s="4" t="s">
        <v>18</v>
      </c>
      <c r="C51" s="4">
        <v>50</v>
      </c>
      <c r="D51" s="4">
        <f>Data!C51</f>
        <v>129</v>
      </c>
      <c r="E51" s="25">
        <f t="shared" si="0"/>
        <v>119.66666666666667</v>
      </c>
      <c r="F51" s="4">
        <f t="shared" si="1"/>
        <v>9.3333333333333286</v>
      </c>
      <c r="G51" s="4">
        <f t="shared" si="2"/>
        <v>9.3333333333333286</v>
      </c>
      <c r="H51" s="4">
        <f t="shared" si="3"/>
        <v>87.111111111111029</v>
      </c>
      <c r="I51" s="4">
        <f t="shared" si="4"/>
        <v>7.2351421188630458E-2</v>
      </c>
    </row>
    <row r="52" spans="1:9" x14ac:dyDescent="0.25">
      <c r="A52" s="4"/>
      <c r="B52" s="4" t="s">
        <v>19</v>
      </c>
      <c r="C52" s="4">
        <v>51</v>
      </c>
      <c r="D52" s="4">
        <f>Data!C52</f>
        <v>71</v>
      </c>
      <c r="E52" s="25">
        <f t="shared" si="0"/>
        <v>107.33333333333333</v>
      </c>
      <c r="F52" s="4">
        <f t="shared" si="1"/>
        <v>-36.333333333333329</v>
      </c>
      <c r="G52" s="4">
        <f t="shared" si="2"/>
        <v>36.333333333333329</v>
      </c>
      <c r="H52" s="4">
        <f t="shared" si="3"/>
        <v>1320.1111111111109</v>
      </c>
      <c r="I52" s="4">
        <f t="shared" si="4"/>
        <v>0.51173708920187788</v>
      </c>
    </row>
    <row r="53" spans="1:9" x14ac:dyDescent="0.25">
      <c r="A53" s="4"/>
      <c r="B53" s="4" t="s">
        <v>20</v>
      </c>
      <c r="C53" s="4">
        <v>52</v>
      </c>
      <c r="D53" s="4">
        <f>Data!C53</f>
        <v>99</v>
      </c>
      <c r="E53" s="25">
        <f t="shared" si="0"/>
        <v>98.666666666666671</v>
      </c>
      <c r="F53" s="4">
        <f t="shared" si="1"/>
        <v>0.3333333333333286</v>
      </c>
      <c r="G53" s="4">
        <f t="shared" si="2"/>
        <v>0.3333333333333286</v>
      </c>
      <c r="H53" s="4">
        <f t="shared" si="3"/>
        <v>0.11111111111110795</v>
      </c>
      <c r="I53" s="4">
        <f t="shared" si="4"/>
        <v>3.3670033670033192E-3</v>
      </c>
    </row>
    <row r="54" spans="1:9" x14ac:dyDescent="0.25">
      <c r="A54" s="4"/>
      <c r="B54" s="4" t="s">
        <v>21</v>
      </c>
      <c r="C54" s="4">
        <v>53</v>
      </c>
      <c r="D54" s="4">
        <f>Data!C54</f>
        <v>98</v>
      </c>
      <c r="E54" s="25">
        <f t="shared" si="0"/>
        <v>99.666666666666671</v>
      </c>
      <c r="F54" s="4">
        <f t="shared" si="1"/>
        <v>-1.6666666666666714</v>
      </c>
      <c r="G54" s="4">
        <f t="shared" si="2"/>
        <v>1.6666666666666714</v>
      </c>
      <c r="H54" s="4">
        <f t="shared" si="3"/>
        <v>2.7777777777777937</v>
      </c>
      <c r="I54" s="4">
        <f t="shared" si="4"/>
        <v>1.7006802721088482E-2</v>
      </c>
    </row>
    <row r="55" spans="1:9" x14ac:dyDescent="0.25">
      <c r="A55" s="4"/>
      <c r="B55" s="4" t="s">
        <v>22</v>
      </c>
      <c r="C55" s="4">
        <v>54</v>
      </c>
      <c r="D55" s="4">
        <f>Data!C55</f>
        <v>139</v>
      </c>
      <c r="E55" s="25">
        <f t="shared" si="0"/>
        <v>89.333333333333329</v>
      </c>
      <c r="F55" s="4">
        <f t="shared" si="1"/>
        <v>49.666666666666671</v>
      </c>
      <c r="G55" s="4">
        <f t="shared" si="2"/>
        <v>49.666666666666671</v>
      </c>
      <c r="H55" s="4">
        <f t="shared" si="3"/>
        <v>2466.7777777777783</v>
      </c>
      <c r="I55" s="4">
        <f t="shared" si="4"/>
        <v>0.35731414868105521</v>
      </c>
    </row>
    <row r="56" spans="1:9" x14ac:dyDescent="0.25">
      <c r="A56" s="4"/>
      <c r="B56" s="4" t="s">
        <v>23</v>
      </c>
      <c r="C56" s="4">
        <v>55</v>
      </c>
      <c r="D56" s="4">
        <f>Data!C56</f>
        <v>90</v>
      </c>
      <c r="E56" s="25">
        <f t="shared" si="0"/>
        <v>112</v>
      </c>
      <c r="F56" s="4">
        <f t="shared" si="1"/>
        <v>-22</v>
      </c>
      <c r="G56" s="4">
        <f t="shared" si="2"/>
        <v>22</v>
      </c>
      <c r="H56" s="4">
        <f t="shared" si="3"/>
        <v>484</v>
      </c>
      <c r="I56" s="4">
        <f t="shared" si="4"/>
        <v>0.24444444444444444</v>
      </c>
    </row>
    <row r="57" spans="1:9" x14ac:dyDescent="0.25">
      <c r="A57" s="4"/>
      <c r="B57" s="4" t="s">
        <v>24</v>
      </c>
      <c r="C57" s="4">
        <v>56</v>
      </c>
      <c r="D57" s="4">
        <f>Data!C57</f>
        <v>219</v>
      </c>
      <c r="E57" s="25">
        <f t="shared" si="0"/>
        <v>109</v>
      </c>
      <c r="F57" s="4">
        <f t="shared" si="1"/>
        <v>110</v>
      </c>
      <c r="G57" s="4">
        <f t="shared" si="2"/>
        <v>110</v>
      </c>
      <c r="H57" s="4">
        <f t="shared" si="3"/>
        <v>12100</v>
      </c>
      <c r="I57" s="4">
        <f t="shared" si="4"/>
        <v>0.50228310502283102</v>
      </c>
    </row>
    <row r="58" spans="1:9" x14ac:dyDescent="0.25">
      <c r="A58" s="4"/>
      <c r="B58" s="4" t="s">
        <v>25</v>
      </c>
      <c r="C58" s="4">
        <v>57</v>
      </c>
      <c r="D58" s="4">
        <f>Data!C58</f>
        <v>206</v>
      </c>
      <c r="E58" s="25">
        <f t="shared" si="0"/>
        <v>149.33333333333334</v>
      </c>
      <c r="F58" s="4">
        <f t="shared" si="1"/>
        <v>56.666666666666657</v>
      </c>
      <c r="G58" s="4">
        <f t="shared" si="2"/>
        <v>56.666666666666657</v>
      </c>
      <c r="H58" s="4">
        <f t="shared" si="3"/>
        <v>3211.1111111111099</v>
      </c>
      <c r="I58" s="4">
        <f t="shared" si="4"/>
        <v>0.27508090614886727</v>
      </c>
    </row>
    <row r="59" spans="1:9" x14ac:dyDescent="0.25">
      <c r="A59" s="4"/>
      <c r="B59" s="4" t="s">
        <v>26</v>
      </c>
      <c r="C59" s="4">
        <v>58</v>
      </c>
      <c r="D59" s="4">
        <f>Data!C59</f>
        <v>186</v>
      </c>
      <c r="E59" s="25">
        <f t="shared" si="0"/>
        <v>171.66666666666666</v>
      </c>
      <c r="F59" s="4">
        <f t="shared" si="1"/>
        <v>14.333333333333343</v>
      </c>
      <c r="G59" s="4">
        <f t="shared" si="2"/>
        <v>14.333333333333343</v>
      </c>
      <c r="H59" s="4">
        <f t="shared" si="3"/>
        <v>205.44444444444471</v>
      </c>
      <c r="I59" s="4">
        <f t="shared" si="4"/>
        <v>7.7060931899641624E-2</v>
      </c>
    </row>
    <row r="60" spans="1:9" x14ac:dyDescent="0.25">
      <c r="A60" s="4"/>
      <c r="B60" s="4" t="s">
        <v>27</v>
      </c>
      <c r="C60" s="4">
        <v>59</v>
      </c>
      <c r="D60" s="4">
        <f>Data!C60</f>
        <v>140</v>
      </c>
      <c r="E60" s="25">
        <f t="shared" si="0"/>
        <v>203.66666666666666</v>
      </c>
      <c r="F60" s="4">
        <f t="shared" si="1"/>
        <v>-63.666666666666657</v>
      </c>
      <c r="G60" s="4">
        <f t="shared" si="2"/>
        <v>63.666666666666657</v>
      </c>
      <c r="H60" s="4">
        <f t="shared" si="3"/>
        <v>4053.4444444444434</v>
      </c>
      <c r="I60" s="4">
        <f t="shared" si="4"/>
        <v>0.4547619047619047</v>
      </c>
    </row>
    <row r="61" spans="1:9" x14ac:dyDescent="0.25">
      <c r="A61" s="4"/>
      <c r="B61" s="4" t="s">
        <v>28</v>
      </c>
      <c r="C61" s="4">
        <v>60</v>
      </c>
      <c r="D61" s="4">
        <f>Data!C61</f>
        <v>61</v>
      </c>
      <c r="E61" s="25">
        <f t="shared" si="0"/>
        <v>177.33333333333334</v>
      </c>
      <c r="F61" s="4">
        <f t="shared" si="1"/>
        <v>-116.33333333333334</v>
      </c>
      <c r="G61" s="4">
        <f t="shared" si="2"/>
        <v>116.33333333333334</v>
      </c>
      <c r="H61" s="4">
        <f t="shared" si="3"/>
        <v>13533.444444444447</v>
      </c>
      <c r="I61" s="4">
        <f t="shared" si="4"/>
        <v>1.9071038251366121</v>
      </c>
    </row>
  </sheetData>
  <sheetProtection algorithmName="SHA-512" hashValue="fgmWKOe7z0QLmvcALO2/U6RgHrRE4Bfnk/0fAGU0pnfZO+108J8VtKlx2PpI0d5yttP53LDUrfOKkKf/AKf4GA==" saltValue="Ynf4bqFxjBXipMWq1u5jsQ==" spinCount="100000" sheet="1" objects="1" scenarios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34F6-BCF3-4D9D-B5EB-A1E85B0381FB}">
  <sheetPr codeName="Sheet12"/>
  <dimension ref="A1:I61"/>
  <sheetViews>
    <sheetView workbookViewId="0">
      <selection activeCell="E2" sqref="E2:E61"/>
    </sheetView>
  </sheetViews>
  <sheetFormatPr defaultRowHeight="15" x14ac:dyDescent="0.25"/>
  <cols>
    <col min="1" max="4" width="16.42578125" customWidth="1"/>
    <col min="6" max="6" width="9.5703125" bestFit="1" customWidth="1"/>
    <col min="7" max="7" width="18.28515625" bestFit="1" customWidth="1"/>
    <col min="8" max="8" width="13.140625" bestFit="1" customWidth="1"/>
    <col min="9" max="9" width="29" bestFit="1" customWidth="1"/>
  </cols>
  <sheetData>
    <row r="1" spans="1:9" x14ac:dyDescent="0.25">
      <c r="A1" s="4"/>
      <c r="B1" s="4" t="s">
        <v>0</v>
      </c>
      <c r="C1" s="4" t="s">
        <v>2</v>
      </c>
      <c r="D1" s="4" t="s">
        <v>13</v>
      </c>
      <c r="E1" s="4" t="s">
        <v>33</v>
      </c>
      <c r="F1" s="4" t="s">
        <v>34</v>
      </c>
      <c r="G1" s="4" t="s">
        <v>35</v>
      </c>
      <c r="H1" s="4" t="s">
        <v>36</v>
      </c>
      <c r="I1" s="4" t="s">
        <v>37</v>
      </c>
    </row>
    <row r="2" spans="1:9" x14ac:dyDescent="0.25">
      <c r="A2" s="4" t="s">
        <v>13</v>
      </c>
      <c r="B2" s="4" t="s">
        <v>14</v>
      </c>
      <c r="C2" s="4">
        <v>1</v>
      </c>
      <c r="D2" s="4">
        <f>Data!C2</f>
        <v>40</v>
      </c>
      <c r="E2" s="25"/>
      <c r="F2" s="4"/>
      <c r="G2" s="4"/>
      <c r="H2" s="4"/>
      <c r="I2" s="4"/>
    </row>
    <row r="3" spans="1:9" x14ac:dyDescent="0.25">
      <c r="A3" s="4"/>
      <c r="B3" s="4" t="s">
        <v>18</v>
      </c>
      <c r="C3" s="4">
        <v>2</v>
      </c>
      <c r="D3" s="4">
        <f>Data!C3</f>
        <v>214</v>
      </c>
      <c r="E3" s="25"/>
      <c r="F3" s="4"/>
      <c r="G3" s="4"/>
      <c r="H3" s="4"/>
      <c r="I3" s="4"/>
    </row>
    <row r="4" spans="1:9" x14ac:dyDescent="0.25">
      <c r="A4" s="4"/>
      <c r="B4" s="4" t="s">
        <v>19</v>
      </c>
      <c r="C4" s="4">
        <v>3</v>
      </c>
      <c r="D4" s="4">
        <f>Data!C4</f>
        <v>60</v>
      </c>
      <c r="E4" s="25"/>
      <c r="F4" s="4"/>
      <c r="G4" s="4"/>
      <c r="H4" s="4"/>
      <c r="I4" s="4"/>
    </row>
    <row r="5" spans="1:9" x14ac:dyDescent="0.25">
      <c r="A5" s="4"/>
      <c r="B5" s="4" t="s">
        <v>20</v>
      </c>
      <c r="C5" s="4">
        <v>4</v>
      </c>
      <c r="D5" s="4">
        <f>Data!C5</f>
        <v>138</v>
      </c>
      <c r="E5" s="25"/>
      <c r="F5" s="4"/>
      <c r="G5" s="4"/>
      <c r="H5" s="4"/>
      <c r="I5" s="4"/>
    </row>
    <row r="6" spans="1:9" x14ac:dyDescent="0.25">
      <c r="A6" s="4"/>
      <c r="B6" s="4" t="s">
        <v>21</v>
      </c>
      <c r="C6" s="4">
        <v>5</v>
      </c>
      <c r="D6" s="4">
        <f>Data!C6</f>
        <v>65</v>
      </c>
      <c r="E6" s="25"/>
      <c r="F6" s="4"/>
      <c r="G6" s="4"/>
      <c r="H6" s="4"/>
      <c r="I6" s="4"/>
    </row>
    <row r="7" spans="1:9" x14ac:dyDescent="0.25">
      <c r="A7" s="4"/>
      <c r="B7" s="4" t="s">
        <v>22</v>
      </c>
      <c r="C7" s="4">
        <v>6</v>
      </c>
      <c r="D7" s="4">
        <f>Data!C7</f>
        <v>36</v>
      </c>
      <c r="E7" s="25"/>
      <c r="F7" s="4"/>
      <c r="G7" s="4"/>
      <c r="H7" s="4"/>
      <c r="I7" s="4"/>
    </row>
    <row r="8" spans="1:9" x14ac:dyDescent="0.25">
      <c r="A8" s="4"/>
      <c r="B8" s="4" t="s">
        <v>23</v>
      </c>
      <c r="C8" s="4">
        <v>7</v>
      </c>
      <c r="D8" s="4">
        <f>Data!C8</f>
        <v>267</v>
      </c>
      <c r="E8" s="25"/>
      <c r="F8" s="4"/>
      <c r="G8" s="4"/>
      <c r="H8" s="4"/>
      <c r="I8" s="4"/>
    </row>
    <row r="9" spans="1:9" x14ac:dyDescent="0.25">
      <c r="A9" s="4"/>
      <c r="B9" s="4" t="s">
        <v>24</v>
      </c>
      <c r="C9" s="4">
        <v>8</v>
      </c>
      <c r="D9" s="4">
        <f>Data!C9</f>
        <v>103</v>
      </c>
      <c r="E9" s="25"/>
      <c r="F9" s="4"/>
      <c r="G9" s="4"/>
      <c r="H9" s="4"/>
      <c r="I9" s="4"/>
    </row>
    <row r="10" spans="1:9" x14ac:dyDescent="0.25">
      <c r="A10" s="4"/>
      <c r="B10" s="4" t="s">
        <v>25</v>
      </c>
      <c r="C10" s="4">
        <v>9</v>
      </c>
      <c r="D10" s="4">
        <f>Data!C10</f>
        <v>164</v>
      </c>
      <c r="E10" s="25"/>
      <c r="F10" s="4"/>
      <c r="G10" s="4"/>
      <c r="H10" s="4"/>
      <c r="I10" s="4"/>
    </row>
    <row r="11" spans="1:9" x14ac:dyDescent="0.25">
      <c r="A11" s="4"/>
      <c r="B11" s="4" t="s">
        <v>26</v>
      </c>
      <c r="C11" s="4">
        <v>10</v>
      </c>
      <c r="D11" s="4">
        <f>Data!C11</f>
        <v>232</v>
      </c>
      <c r="E11" s="25"/>
      <c r="F11" s="4"/>
      <c r="G11" s="4"/>
      <c r="H11" s="4"/>
      <c r="I11" s="4"/>
    </row>
    <row r="12" spans="1:9" x14ac:dyDescent="0.25">
      <c r="A12" s="4"/>
      <c r="B12" s="4" t="s">
        <v>27</v>
      </c>
      <c r="C12" s="4">
        <v>11</v>
      </c>
      <c r="D12" s="4">
        <f>Data!C12</f>
        <v>140</v>
      </c>
      <c r="E12" s="25"/>
      <c r="F12" s="4"/>
      <c r="G12" s="4"/>
      <c r="H12" s="4"/>
      <c r="I12" s="4"/>
    </row>
    <row r="13" spans="1:9" x14ac:dyDescent="0.25">
      <c r="A13" s="4"/>
      <c r="B13" s="4" t="s">
        <v>28</v>
      </c>
      <c r="C13" s="4">
        <v>12</v>
      </c>
      <c r="D13" s="4">
        <f>Data!C13</f>
        <v>132</v>
      </c>
      <c r="E13" s="25"/>
      <c r="F13" s="4"/>
      <c r="G13" s="4"/>
      <c r="H13" s="4"/>
      <c r="I13" s="4"/>
    </row>
    <row r="14" spans="1:9" x14ac:dyDescent="0.25">
      <c r="A14" s="4" t="s">
        <v>29</v>
      </c>
      <c r="B14" s="4" t="s">
        <v>14</v>
      </c>
      <c r="C14" s="4">
        <v>13</v>
      </c>
      <c r="D14" s="4">
        <f>Data!C14</f>
        <v>59</v>
      </c>
      <c r="E14" s="25">
        <f>AVERAGE(D2:D13)</f>
        <v>132.58333333333334</v>
      </c>
      <c r="F14" s="4">
        <f>D14-E14</f>
        <v>-73.583333333333343</v>
      </c>
      <c r="G14" s="4">
        <f>ABS(F14)</f>
        <v>73.583333333333343</v>
      </c>
      <c r="H14" s="4">
        <f>G14^2</f>
        <v>5414.5069444444462</v>
      </c>
      <c r="I14" s="4">
        <f>G14/D14</f>
        <v>1.2471751412429379</v>
      </c>
    </row>
    <row r="15" spans="1:9" x14ac:dyDescent="0.25">
      <c r="A15" s="4"/>
      <c r="B15" s="4" t="s">
        <v>18</v>
      </c>
      <c r="C15" s="4">
        <v>14</v>
      </c>
      <c r="D15" s="4">
        <f>Data!C15</f>
        <v>228</v>
      </c>
      <c r="E15" s="25">
        <f t="shared" ref="E15:E61" si="0">AVERAGE(D3:D14)</f>
        <v>134.16666666666666</v>
      </c>
      <c r="F15" s="4">
        <f t="shared" ref="F15:F61" si="1">D15-E15</f>
        <v>93.833333333333343</v>
      </c>
      <c r="G15" s="4">
        <f t="shared" ref="G15:G61" si="2">ABS(F15)</f>
        <v>93.833333333333343</v>
      </c>
      <c r="H15" s="4">
        <f t="shared" ref="H15:H61" si="3">G15^2</f>
        <v>8804.6944444444471</v>
      </c>
      <c r="I15" s="4">
        <f t="shared" ref="I15:I61" si="4">G15/D15</f>
        <v>0.41154970760233922</v>
      </c>
    </row>
    <row r="16" spans="1:9" x14ac:dyDescent="0.25">
      <c r="A16" s="4"/>
      <c r="B16" s="4" t="s">
        <v>19</v>
      </c>
      <c r="C16" s="4">
        <v>15</v>
      </c>
      <c r="D16" s="4">
        <f>Data!C16</f>
        <v>51</v>
      </c>
      <c r="E16" s="25">
        <f t="shared" si="0"/>
        <v>135.33333333333334</v>
      </c>
      <c r="F16" s="4">
        <f t="shared" si="1"/>
        <v>-84.333333333333343</v>
      </c>
      <c r="G16" s="4">
        <f t="shared" si="2"/>
        <v>84.333333333333343</v>
      </c>
      <c r="H16" s="4">
        <f t="shared" si="3"/>
        <v>7112.1111111111131</v>
      </c>
      <c r="I16" s="4">
        <f t="shared" si="4"/>
        <v>1.6535947712418302</v>
      </c>
    </row>
    <row r="17" spans="1:9" x14ac:dyDescent="0.25">
      <c r="A17" s="4"/>
      <c r="B17" s="4" t="s">
        <v>20</v>
      </c>
      <c r="C17" s="4">
        <v>16</v>
      </c>
      <c r="D17" s="4">
        <f>Data!C17</f>
        <v>123</v>
      </c>
      <c r="E17" s="25">
        <f t="shared" si="0"/>
        <v>134.58333333333334</v>
      </c>
      <c r="F17" s="4">
        <f t="shared" si="1"/>
        <v>-11.583333333333343</v>
      </c>
      <c r="G17" s="4">
        <f t="shared" si="2"/>
        <v>11.583333333333343</v>
      </c>
      <c r="H17" s="4">
        <f t="shared" si="3"/>
        <v>134.17361111111134</v>
      </c>
      <c r="I17" s="4">
        <f t="shared" si="4"/>
        <v>9.4173441734417426E-2</v>
      </c>
    </row>
    <row r="18" spans="1:9" x14ac:dyDescent="0.25">
      <c r="A18" s="4"/>
      <c r="B18" s="4" t="s">
        <v>21</v>
      </c>
      <c r="C18" s="4">
        <v>17</v>
      </c>
      <c r="D18" s="4">
        <f>Data!C18</f>
        <v>98</v>
      </c>
      <c r="E18" s="25">
        <f t="shared" si="0"/>
        <v>133.33333333333334</v>
      </c>
      <c r="F18" s="4">
        <f t="shared" si="1"/>
        <v>-35.333333333333343</v>
      </c>
      <c r="G18" s="4">
        <f t="shared" si="2"/>
        <v>35.333333333333343</v>
      </c>
      <c r="H18" s="4">
        <f t="shared" si="3"/>
        <v>1248.444444444445</v>
      </c>
      <c r="I18" s="4">
        <f t="shared" si="4"/>
        <v>0.36054421768707495</v>
      </c>
    </row>
    <row r="19" spans="1:9" x14ac:dyDescent="0.25">
      <c r="A19" s="4"/>
      <c r="B19" s="4" t="s">
        <v>22</v>
      </c>
      <c r="C19" s="4">
        <v>18</v>
      </c>
      <c r="D19" s="4">
        <f>Data!C19</f>
        <v>124</v>
      </c>
      <c r="E19" s="25">
        <f t="shared" si="0"/>
        <v>136.08333333333334</v>
      </c>
      <c r="F19" s="4">
        <f t="shared" si="1"/>
        <v>-12.083333333333343</v>
      </c>
      <c r="G19" s="4">
        <f t="shared" si="2"/>
        <v>12.083333333333343</v>
      </c>
      <c r="H19" s="4">
        <f t="shared" si="3"/>
        <v>146.00694444444468</v>
      </c>
      <c r="I19" s="4">
        <f t="shared" si="4"/>
        <v>9.7446236559139865E-2</v>
      </c>
    </row>
    <row r="20" spans="1:9" x14ac:dyDescent="0.25">
      <c r="A20" s="4"/>
      <c r="B20" s="4" t="s">
        <v>23</v>
      </c>
      <c r="C20" s="4">
        <v>19</v>
      </c>
      <c r="D20" s="4">
        <f>Data!C20</f>
        <v>163</v>
      </c>
      <c r="E20" s="25">
        <f t="shared" si="0"/>
        <v>143.41666666666666</v>
      </c>
      <c r="F20" s="4">
        <f t="shared" si="1"/>
        <v>19.583333333333343</v>
      </c>
      <c r="G20" s="4">
        <f t="shared" si="2"/>
        <v>19.583333333333343</v>
      </c>
      <c r="H20" s="4">
        <f t="shared" si="3"/>
        <v>383.5069444444448</v>
      </c>
      <c r="I20" s="4">
        <f t="shared" si="4"/>
        <v>0.12014314928425364</v>
      </c>
    </row>
    <row r="21" spans="1:9" x14ac:dyDescent="0.25">
      <c r="A21" s="4"/>
      <c r="B21" s="4" t="s">
        <v>24</v>
      </c>
      <c r="C21" s="4">
        <v>20</v>
      </c>
      <c r="D21" s="4">
        <f>Data!C21</f>
        <v>357</v>
      </c>
      <c r="E21" s="25">
        <f t="shared" si="0"/>
        <v>134.75</v>
      </c>
      <c r="F21" s="4">
        <f t="shared" si="1"/>
        <v>222.25</v>
      </c>
      <c r="G21" s="4">
        <f t="shared" si="2"/>
        <v>222.25</v>
      </c>
      <c r="H21" s="4">
        <f t="shared" si="3"/>
        <v>49395.0625</v>
      </c>
      <c r="I21" s="4">
        <f t="shared" si="4"/>
        <v>0.62254901960784315</v>
      </c>
    </row>
    <row r="22" spans="1:9" x14ac:dyDescent="0.25">
      <c r="A22" s="4"/>
      <c r="B22" s="4" t="s">
        <v>25</v>
      </c>
      <c r="C22" s="4">
        <v>21</v>
      </c>
      <c r="D22" s="4">
        <f>Data!C22</f>
        <v>133</v>
      </c>
      <c r="E22" s="25">
        <f t="shared" si="0"/>
        <v>155.91666666666666</v>
      </c>
      <c r="F22" s="4">
        <f t="shared" si="1"/>
        <v>-22.916666666666657</v>
      </c>
      <c r="G22" s="4">
        <f t="shared" si="2"/>
        <v>22.916666666666657</v>
      </c>
      <c r="H22" s="4">
        <f t="shared" si="3"/>
        <v>525.17361111111063</v>
      </c>
      <c r="I22" s="4">
        <f t="shared" si="4"/>
        <v>0.17230576441102749</v>
      </c>
    </row>
    <row r="23" spans="1:9" x14ac:dyDescent="0.25">
      <c r="A23" s="4"/>
      <c r="B23" s="4" t="s">
        <v>26</v>
      </c>
      <c r="C23" s="4">
        <v>22</v>
      </c>
      <c r="D23" s="4">
        <f>Data!C23</f>
        <v>161</v>
      </c>
      <c r="E23" s="25">
        <f t="shared" si="0"/>
        <v>153.33333333333334</v>
      </c>
      <c r="F23" s="4">
        <f t="shared" si="1"/>
        <v>7.6666666666666572</v>
      </c>
      <c r="G23" s="4">
        <f t="shared" si="2"/>
        <v>7.6666666666666572</v>
      </c>
      <c r="H23" s="4">
        <f t="shared" si="3"/>
        <v>58.777777777777629</v>
      </c>
      <c r="I23" s="4">
        <f t="shared" si="4"/>
        <v>4.7619047619047561E-2</v>
      </c>
    </row>
    <row r="24" spans="1:9" x14ac:dyDescent="0.25">
      <c r="A24" s="4"/>
      <c r="B24" s="4" t="s">
        <v>27</v>
      </c>
      <c r="C24" s="4">
        <v>23</v>
      </c>
      <c r="D24" s="4">
        <f>Data!C24</f>
        <v>157</v>
      </c>
      <c r="E24" s="25">
        <f t="shared" si="0"/>
        <v>147.41666666666666</v>
      </c>
      <c r="F24" s="4">
        <f t="shared" si="1"/>
        <v>9.5833333333333428</v>
      </c>
      <c r="G24" s="4">
        <f t="shared" si="2"/>
        <v>9.5833333333333428</v>
      </c>
      <c r="H24" s="4">
        <f t="shared" si="3"/>
        <v>91.840277777777956</v>
      </c>
      <c r="I24" s="4">
        <f t="shared" si="4"/>
        <v>6.1040339702760148E-2</v>
      </c>
    </row>
    <row r="25" spans="1:9" x14ac:dyDescent="0.25">
      <c r="A25" s="4"/>
      <c r="B25" s="4" t="s">
        <v>28</v>
      </c>
      <c r="C25" s="4">
        <v>24</v>
      </c>
      <c r="D25" s="4">
        <f>Data!C25</f>
        <v>51</v>
      </c>
      <c r="E25" s="25">
        <f t="shared" si="0"/>
        <v>148.83333333333334</v>
      </c>
      <c r="F25" s="4">
        <f t="shared" si="1"/>
        <v>-97.833333333333343</v>
      </c>
      <c r="G25" s="4">
        <f t="shared" si="2"/>
        <v>97.833333333333343</v>
      </c>
      <c r="H25" s="4">
        <f t="shared" si="3"/>
        <v>9571.3611111111131</v>
      </c>
      <c r="I25" s="4">
        <f t="shared" si="4"/>
        <v>1.9183006535947715</v>
      </c>
    </row>
    <row r="26" spans="1:9" x14ac:dyDescent="0.25">
      <c r="A26" s="4" t="s">
        <v>30</v>
      </c>
      <c r="B26" s="4" t="s">
        <v>14</v>
      </c>
      <c r="C26" s="4">
        <v>25</v>
      </c>
      <c r="D26" s="4">
        <f>Data!C26</f>
        <v>140</v>
      </c>
      <c r="E26" s="25">
        <f t="shared" si="0"/>
        <v>142.08333333333334</v>
      </c>
      <c r="F26" s="4">
        <f t="shared" si="1"/>
        <v>-2.0833333333333428</v>
      </c>
      <c r="G26" s="4">
        <f t="shared" si="2"/>
        <v>2.0833333333333428</v>
      </c>
      <c r="H26" s="4">
        <f t="shared" si="3"/>
        <v>4.3402777777778176</v>
      </c>
      <c r="I26" s="4">
        <f t="shared" si="4"/>
        <v>1.4880952380952448E-2</v>
      </c>
    </row>
    <row r="27" spans="1:9" x14ac:dyDescent="0.25">
      <c r="A27" s="4"/>
      <c r="B27" s="4" t="s">
        <v>18</v>
      </c>
      <c r="C27" s="4">
        <v>26</v>
      </c>
      <c r="D27" s="4">
        <f>Data!C27</f>
        <v>105</v>
      </c>
      <c r="E27" s="25">
        <f t="shared" si="0"/>
        <v>148.83333333333334</v>
      </c>
      <c r="F27" s="4">
        <f t="shared" si="1"/>
        <v>-43.833333333333343</v>
      </c>
      <c r="G27" s="4">
        <f t="shared" si="2"/>
        <v>43.833333333333343</v>
      </c>
      <c r="H27" s="4">
        <f t="shared" si="3"/>
        <v>1921.361111111112</v>
      </c>
      <c r="I27" s="4">
        <f t="shared" si="4"/>
        <v>0.41746031746031753</v>
      </c>
    </row>
    <row r="28" spans="1:9" x14ac:dyDescent="0.25">
      <c r="A28" s="4"/>
      <c r="B28" s="4" t="s">
        <v>19</v>
      </c>
      <c r="C28" s="4">
        <v>27</v>
      </c>
      <c r="D28" s="4">
        <f>Data!C28</f>
        <v>147</v>
      </c>
      <c r="E28" s="25">
        <f t="shared" si="0"/>
        <v>138.58333333333334</v>
      </c>
      <c r="F28" s="4">
        <f t="shared" si="1"/>
        <v>8.4166666666666572</v>
      </c>
      <c r="G28" s="4">
        <f t="shared" si="2"/>
        <v>8.4166666666666572</v>
      </c>
      <c r="H28" s="4">
        <f t="shared" si="3"/>
        <v>70.840277777777615</v>
      </c>
      <c r="I28" s="4">
        <f t="shared" si="4"/>
        <v>5.7256235827664335E-2</v>
      </c>
    </row>
    <row r="29" spans="1:9" x14ac:dyDescent="0.25">
      <c r="A29" s="4"/>
      <c r="B29" s="4" t="s">
        <v>20</v>
      </c>
      <c r="C29" s="4">
        <v>28</v>
      </c>
      <c r="D29" s="4">
        <f>Data!C29</f>
        <v>88</v>
      </c>
      <c r="E29" s="25">
        <f t="shared" si="0"/>
        <v>146.58333333333334</v>
      </c>
      <c r="F29" s="4">
        <f t="shared" si="1"/>
        <v>-58.583333333333343</v>
      </c>
      <c r="G29" s="4">
        <f t="shared" si="2"/>
        <v>58.583333333333343</v>
      </c>
      <c r="H29" s="4">
        <f t="shared" si="3"/>
        <v>3432.0069444444457</v>
      </c>
      <c r="I29" s="4">
        <f t="shared" si="4"/>
        <v>0.66571969696969713</v>
      </c>
    </row>
    <row r="30" spans="1:9" x14ac:dyDescent="0.25">
      <c r="A30" s="4"/>
      <c r="B30" s="4" t="s">
        <v>21</v>
      </c>
      <c r="C30" s="4">
        <v>29</v>
      </c>
      <c r="D30" s="4">
        <f>Data!C30</f>
        <v>83</v>
      </c>
      <c r="E30" s="25">
        <f t="shared" si="0"/>
        <v>143.66666666666666</v>
      </c>
      <c r="F30" s="4">
        <f t="shared" si="1"/>
        <v>-60.666666666666657</v>
      </c>
      <c r="G30" s="4">
        <f t="shared" si="2"/>
        <v>60.666666666666657</v>
      </c>
      <c r="H30" s="4">
        <f t="shared" si="3"/>
        <v>3680.4444444444434</v>
      </c>
      <c r="I30" s="4">
        <f t="shared" si="4"/>
        <v>0.73092369477911634</v>
      </c>
    </row>
    <row r="31" spans="1:9" x14ac:dyDescent="0.25">
      <c r="A31" s="4"/>
      <c r="B31" s="4" t="s">
        <v>22</v>
      </c>
      <c r="C31" s="4">
        <v>30</v>
      </c>
      <c r="D31" s="4">
        <f>Data!C31</f>
        <v>77</v>
      </c>
      <c r="E31" s="25">
        <f t="shared" si="0"/>
        <v>142.41666666666666</v>
      </c>
      <c r="F31" s="4">
        <f t="shared" si="1"/>
        <v>-65.416666666666657</v>
      </c>
      <c r="G31" s="4">
        <f t="shared" si="2"/>
        <v>65.416666666666657</v>
      </c>
      <c r="H31" s="4">
        <f t="shared" si="3"/>
        <v>4279.3402777777765</v>
      </c>
      <c r="I31" s="4">
        <f t="shared" si="4"/>
        <v>0.84956709956709942</v>
      </c>
    </row>
    <row r="32" spans="1:9" x14ac:dyDescent="0.25">
      <c r="A32" s="4"/>
      <c r="B32" s="4" t="s">
        <v>23</v>
      </c>
      <c r="C32" s="4">
        <v>31</v>
      </c>
      <c r="D32" s="4">
        <f>Data!C32</f>
        <v>89</v>
      </c>
      <c r="E32" s="25">
        <f t="shared" si="0"/>
        <v>138.5</v>
      </c>
      <c r="F32" s="4">
        <f t="shared" si="1"/>
        <v>-49.5</v>
      </c>
      <c r="G32" s="4">
        <f t="shared" si="2"/>
        <v>49.5</v>
      </c>
      <c r="H32" s="4">
        <f t="shared" si="3"/>
        <v>2450.25</v>
      </c>
      <c r="I32" s="4">
        <f t="shared" si="4"/>
        <v>0.5561797752808989</v>
      </c>
    </row>
    <row r="33" spans="1:9" x14ac:dyDescent="0.25">
      <c r="A33" s="4"/>
      <c r="B33" s="4" t="s">
        <v>24</v>
      </c>
      <c r="C33" s="4">
        <v>32</v>
      </c>
      <c r="D33" s="4">
        <f>Data!C33</f>
        <v>154</v>
      </c>
      <c r="E33" s="25">
        <f t="shared" si="0"/>
        <v>132.33333333333334</v>
      </c>
      <c r="F33" s="4">
        <f t="shared" si="1"/>
        <v>21.666666666666657</v>
      </c>
      <c r="G33" s="4">
        <f t="shared" si="2"/>
        <v>21.666666666666657</v>
      </c>
      <c r="H33" s="4">
        <f t="shared" si="3"/>
        <v>469.44444444444406</v>
      </c>
      <c r="I33" s="4">
        <f t="shared" si="4"/>
        <v>0.14069264069264062</v>
      </c>
    </row>
    <row r="34" spans="1:9" x14ac:dyDescent="0.25">
      <c r="A34" s="4"/>
      <c r="B34" s="4" t="s">
        <v>25</v>
      </c>
      <c r="C34" s="4">
        <v>33</v>
      </c>
      <c r="D34" s="4">
        <f>Data!C34</f>
        <v>140</v>
      </c>
      <c r="E34" s="25">
        <f t="shared" si="0"/>
        <v>115.41666666666667</v>
      </c>
      <c r="F34" s="4">
        <f t="shared" si="1"/>
        <v>24.583333333333329</v>
      </c>
      <c r="G34" s="4">
        <f t="shared" si="2"/>
        <v>24.583333333333329</v>
      </c>
      <c r="H34" s="4">
        <f t="shared" si="3"/>
        <v>604.3402777777776</v>
      </c>
      <c r="I34" s="4">
        <f t="shared" si="4"/>
        <v>0.17559523809523805</v>
      </c>
    </row>
    <row r="35" spans="1:9" x14ac:dyDescent="0.25">
      <c r="A35" s="4"/>
      <c r="B35" s="4" t="s">
        <v>26</v>
      </c>
      <c r="C35" s="4">
        <v>34</v>
      </c>
      <c r="D35" s="4">
        <f>Data!C35</f>
        <v>148</v>
      </c>
      <c r="E35" s="25">
        <f t="shared" si="0"/>
        <v>116</v>
      </c>
      <c r="F35" s="4">
        <f t="shared" si="1"/>
        <v>32</v>
      </c>
      <c r="G35" s="4">
        <f t="shared" si="2"/>
        <v>32</v>
      </c>
      <c r="H35" s="4">
        <f t="shared" si="3"/>
        <v>1024</v>
      </c>
      <c r="I35" s="4">
        <f t="shared" si="4"/>
        <v>0.21621621621621623</v>
      </c>
    </row>
    <row r="36" spans="1:9" x14ac:dyDescent="0.25">
      <c r="A36" s="4"/>
      <c r="B36" s="4" t="s">
        <v>27</v>
      </c>
      <c r="C36" s="4">
        <v>35</v>
      </c>
      <c r="D36" s="4">
        <f>Data!C36</f>
        <v>125</v>
      </c>
      <c r="E36" s="25">
        <f t="shared" si="0"/>
        <v>114.91666666666667</v>
      </c>
      <c r="F36" s="4">
        <f t="shared" si="1"/>
        <v>10.083333333333329</v>
      </c>
      <c r="G36" s="4">
        <f t="shared" si="2"/>
        <v>10.083333333333329</v>
      </c>
      <c r="H36" s="4">
        <f t="shared" si="3"/>
        <v>101.67361111111101</v>
      </c>
      <c r="I36" s="4">
        <f t="shared" si="4"/>
        <v>8.0666666666666623E-2</v>
      </c>
    </row>
    <row r="37" spans="1:9" x14ac:dyDescent="0.25">
      <c r="A37" s="4"/>
      <c r="B37" s="4" t="s">
        <v>28</v>
      </c>
      <c r="C37" s="4">
        <v>36</v>
      </c>
      <c r="D37" s="4">
        <f>Data!C37</f>
        <v>83</v>
      </c>
      <c r="E37" s="25">
        <f t="shared" si="0"/>
        <v>112.25</v>
      </c>
      <c r="F37" s="4">
        <f t="shared" si="1"/>
        <v>-29.25</v>
      </c>
      <c r="G37" s="4">
        <f t="shared" si="2"/>
        <v>29.25</v>
      </c>
      <c r="H37" s="4">
        <f t="shared" si="3"/>
        <v>855.5625</v>
      </c>
      <c r="I37" s="4">
        <f t="shared" si="4"/>
        <v>0.35240963855421686</v>
      </c>
    </row>
    <row r="38" spans="1:9" x14ac:dyDescent="0.25">
      <c r="A38" s="4" t="s">
        <v>31</v>
      </c>
      <c r="B38" s="4" t="s">
        <v>14</v>
      </c>
      <c r="C38" s="4">
        <v>37</v>
      </c>
      <c r="D38" s="4">
        <f>Data!C38</f>
        <v>238</v>
      </c>
      <c r="E38" s="25">
        <f t="shared" si="0"/>
        <v>114.91666666666667</v>
      </c>
      <c r="F38" s="4">
        <f t="shared" si="1"/>
        <v>123.08333333333333</v>
      </c>
      <c r="G38" s="4">
        <f t="shared" si="2"/>
        <v>123.08333333333333</v>
      </c>
      <c r="H38" s="4">
        <f t="shared" si="3"/>
        <v>15149.506944444443</v>
      </c>
      <c r="I38" s="4">
        <f t="shared" si="4"/>
        <v>0.51715686274509798</v>
      </c>
    </row>
    <row r="39" spans="1:9" x14ac:dyDescent="0.25">
      <c r="A39" s="4"/>
      <c r="B39" s="4" t="s">
        <v>18</v>
      </c>
      <c r="C39" s="4">
        <v>38</v>
      </c>
      <c r="D39" s="4">
        <f>Data!C39</f>
        <v>136</v>
      </c>
      <c r="E39" s="25">
        <f t="shared" si="0"/>
        <v>123.08333333333333</v>
      </c>
      <c r="F39" s="4">
        <f t="shared" si="1"/>
        <v>12.916666666666671</v>
      </c>
      <c r="G39" s="4">
        <f t="shared" si="2"/>
        <v>12.916666666666671</v>
      </c>
      <c r="H39" s="4">
        <f t="shared" si="3"/>
        <v>166.84027777777791</v>
      </c>
      <c r="I39" s="4">
        <f t="shared" si="4"/>
        <v>9.4975490196078469E-2</v>
      </c>
    </row>
    <row r="40" spans="1:9" x14ac:dyDescent="0.25">
      <c r="A40" s="4"/>
      <c r="B40" s="4" t="s">
        <v>19</v>
      </c>
      <c r="C40" s="4">
        <v>39</v>
      </c>
      <c r="D40" s="4">
        <f>Data!C40</f>
        <v>42</v>
      </c>
      <c r="E40" s="25">
        <f t="shared" si="0"/>
        <v>125.66666666666667</v>
      </c>
      <c r="F40" s="4">
        <f t="shared" si="1"/>
        <v>-83.666666666666671</v>
      </c>
      <c r="G40" s="4">
        <f t="shared" si="2"/>
        <v>83.666666666666671</v>
      </c>
      <c r="H40" s="4">
        <f t="shared" si="3"/>
        <v>7000.1111111111122</v>
      </c>
      <c r="I40" s="4">
        <f t="shared" si="4"/>
        <v>1.9920634920634921</v>
      </c>
    </row>
    <row r="41" spans="1:9" x14ac:dyDescent="0.25">
      <c r="A41" s="4"/>
      <c r="B41" s="4" t="s">
        <v>20</v>
      </c>
      <c r="C41" s="4">
        <v>40</v>
      </c>
      <c r="D41" s="4">
        <f>Data!C41</f>
        <v>70</v>
      </c>
      <c r="E41" s="25">
        <f t="shared" si="0"/>
        <v>116.91666666666667</v>
      </c>
      <c r="F41" s="4">
        <f t="shared" si="1"/>
        <v>-46.916666666666671</v>
      </c>
      <c r="G41" s="4">
        <f t="shared" si="2"/>
        <v>46.916666666666671</v>
      </c>
      <c r="H41" s="4">
        <f t="shared" si="3"/>
        <v>2201.1736111111118</v>
      </c>
      <c r="I41" s="4">
        <f t="shared" si="4"/>
        <v>0.6702380952380953</v>
      </c>
    </row>
    <row r="42" spans="1:9" x14ac:dyDescent="0.25">
      <c r="A42" s="4"/>
      <c r="B42" s="4" t="s">
        <v>21</v>
      </c>
      <c r="C42" s="4">
        <v>41</v>
      </c>
      <c r="D42" s="4">
        <f>Data!C42</f>
        <v>64</v>
      </c>
      <c r="E42" s="25">
        <f t="shared" si="0"/>
        <v>115.41666666666667</v>
      </c>
      <c r="F42" s="4">
        <f t="shared" si="1"/>
        <v>-51.416666666666671</v>
      </c>
      <c r="G42" s="4">
        <f t="shared" si="2"/>
        <v>51.416666666666671</v>
      </c>
      <c r="H42" s="4">
        <f t="shared" si="3"/>
        <v>2643.6736111111118</v>
      </c>
      <c r="I42" s="4">
        <f t="shared" si="4"/>
        <v>0.80338541666666674</v>
      </c>
    </row>
    <row r="43" spans="1:9" x14ac:dyDescent="0.25">
      <c r="A43" s="4"/>
      <c r="B43" s="4" t="s">
        <v>22</v>
      </c>
      <c r="C43" s="4">
        <v>42</v>
      </c>
      <c r="D43" s="4">
        <f>Data!C43</f>
        <v>66</v>
      </c>
      <c r="E43" s="25">
        <f t="shared" si="0"/>
        <v>113.83333333333333</v>
      </c>
      <c r="F43" s="4">
        <f t="shared" si="1"/>
        <v>-47.833333333333329</v>
      </c>
      <c r="G43" s="4">
        <f t="shared" si="2"/>
        <v>47.833333333333329</v>
      </c>
      <c r="H43" s="4">
        <f t="shared" si="3"/>
        <v>2288.0277777777774</v>
      </c>
      <c r="I43" s="4">
        <f t="shared" si="4"/>
        <v>0.7247474747474747</v>
      </c>
    </row>
    <row r="44" spans="1:9" x14ac:dyDescent="0.25">
      <c r="A44" s="4"/>
      <c r="B44" s="4" t="s">
        <v>23</v>
      </c>
      <c r="C44" s="4">
        <v>43</v>
      </c>
      <c r="D44" s="4">
        <f>Data!C44</f>
        <v>215</v>
      </c>
      <c r="E44" s="25">
        <f t="shared" si="0"/>
        <v>112.91666666666667</v>
      </c>
      <c r="F44" s="4">
        <f t="shared" si="1"/>
        <v>102.08333333333333</v>
      </c>
      <c r="G44" s="4">
        <f t="shared" si="2"/>
        <v>102.08333333333333</v>
      </c>
      <c r="H44" s="4">
        <f t="shared" si="3"/>
        <v>10421.006944444443</v>
      </c>
      <c r="I44" s="4">
        <f t="shared" si="4"/>
        <v>0.47480620155038755</v>
      </c>
    </row>
    <row r="45" spans="1:9" x14ac:dyDescent="0.25">
      <c r="A45" s="4"/>
      <c r="B45" s="4" t="s">
        <v>24</v>
      </c>
      <c r="C45" s="4">
        <v>44</v>
      </c>
      <c r="D45" s="4">
        <f>Data!C45</f>
        <v>242</v>
      </c>
      <c r="E45" s="25">
        <f t="shared" si="0"/>
        <v>123.41666666666667</v>
      </c>
      <c r="F45" s="4">
        <f t="shared" si="1"/>
        <v>118.58333333333333</v>
      </c>
      <c r="G45" s="4">
        <f t="shared" si="2"/>
        <v>118.58333333333333</v>
      </c>
      <c r="H45" s="4">
        <f t="shared" si="3"/>
        <v>14062.006944444443</v>
      </c>
      <c r="I45" s="4">
        <f t="shared" si="4"/>
        <v>0.49001377410468316</v>
      </c>
    </row>
    <row r="46" spans="1:9" x14ac:dyDescent="0.25">
      <c r="A46" s="4"/>
      <c r="B46" s="4" t="s">
        <v>25</v>
      </c>
      <c r="C46" s="4">
        <v>45</v>
      </c>
      <c r="D46" s="4">
        <f>Data!C46</f>
        <v>209</v>
      </c>
      <c r="E46" s="25">
        <f t="shared" si="0"/>
        <v>130.75</v>
      </c>
      <c r="F46" s="4">
        <f t="shared" si="1"/>
        <v>78.25</v>
      </c>
      <c r="G46" s="4">
        <f t="shared" si="2"/>
        <v>78.25</v>
      </c>
      <c r="H46" s="4">
        <f t="shared" si="3"/>
        <v>6123.0625</v>
      </c>
      <c r="I46" s="4">
        <f t="shared" si="4"/>
        <v>0.37440191387559807</v>
      </c>
    </row>
    <row r="47" spans="1:9" x14ac:dyDescent="0.25">
      <c r="A47" s="4"/>
      <c r="B47" s="4" t="s">
        <v>26</v>
      </c>
      <c r="C47" s="4">
        <v>46</v>
      </c>
      <c r="D47" s="4">
        <f>Data!C47</f>
        <v>106</v>
      </c>
      <c r="E47" s="25">
        <f t="shared" si="0"/>
        <v>136.5</v>
      </c>
      <c r="F47" s="4">
        <f t="shared" si="1"/>
        <v>-30.5</v>
      </c>
      <c r="G47" s="4">
        <f t="shared" si="2"/>
        <v>30.5</v>
      </c>
      <c r="H47" s="4">
        <f t="shared" si="3"/>
        <v>930.25</v>
      </c>
      <c r="I47" s="4">
        <f t="shared" si="4"/>
        <v>0.28773584905660377</v>
      </c>
    </row>
    <row r="48" spans="1:9" x14ac:dyDescent="0.25">
      <c r="A48" s="4"/>
      <c r="B48" s="4" t="s">
        <v>27</v>
      </c>
      <c r="C48" s="4">
        <v>47</v>
      </c>
      <c r="D48" s="4">
        <f>Data!C48</f>
        <v>166</v>
      </c>
      <c r="E48" s="25">
        <f t="shared" si="0"/>
        <v>133</v>
      </c>
      <c r="F48" s="4">
        <f t="shared" si="1"/>
        <v>33</v>
      </c>
      <c r="G48" s="4">
        <f t="shared" si="2"/>
        <v>33</v>
      </c>
      <c r="H48" s="4">
        <f t="shared" si="3"/>
        <v>1089</v>
      </c>
      <c r="I48" s="4">
        <f t="shared" si="4"/>
        <v>0.19879518072289157</v>
      </c>
    </row>
    <row r="49" spans="1:9" x14ac:dyDescent="0.25">
      <c r="A49" s="4"/>
      <c r="B49" s="4" t="s">
        <v>28</v>
      </c>
      <c r="C49" s="4">
        <v>48</v>
      </c>
      <c r="D49" s="4">
        <f>Data!C49</f>
        <v>97</v>
      </c>
      <c r="E49" s="25">
        <f t="shared" si="0"/>
        <v>136.41666666666666</v>
      </c>
      <c r="F49" s="4">
        <f t="shared" si="1"/>
        <v>-39.416666666666657</v>
      </c>
      <c r="G49" s="4">
        <f t="shared" si="2"/>
        <v>39.416666666666657</v>
      </c>
      <c r="H49" s="4">
        <f t="shared" si="3"/>
        <v>1553.6736111111104</v>
      </c>
      <c r="I49" s="4">
        <f t="shared" si="4"/>
        <v>0.40635738831615109</v>
      </c>
    </row>
    <row r="50" spans="1:9" x14ac:dyDescent="0.25">
      <c r="A50" s="4" t="s">
        <v>32</v>
      </c>
      <c r="B50" s="4" t="s">
        <v>14</v>
      </c>
      <c r="C50" s="4">
        <v>49</v>
      </c>
      <c r="D50" s="4">
        <f>Data!C50</f>
        <v>96</v>
      </c>
      <c r="E50" s="25">
        <f t="shared" si="0"/>
        <v>137.58333333333334</v>
      </c>
      <c r="F50" s="4">
        <f t="shared" si="1"/>
        <v>-41.583333333333343</v>
      </c>
      <c r="G50" s="4">
        <f t="shared" si="2"/>
        <v>41.583333333333343</v>
      </c>
      <c r="H50" s="4">
        <f t="shared" si="3"/>
        <v>1729.173611111112</v>
      </c>
      <c r="I50" s="4">
        <f t="shared" si="4"/>
        <v>0.43315972222222232</v>
      </c>
    </row>
    <row r="51" spans="1:9" x14ac:dyDescent="0.25">
      <c r="A51" s="4"/>
      <c r="B51" s="4" t="s">
        <v>18</v>
      </c>
      <c r="C51" s="4">
        <v>50</v>
      </c>
      <c r="D51" s="4">
        <f>Data!C51</f>
        <v>129</v>
      </c>
      <c r="E51" s="25">
        <f t="shared" si="0"/>
        <v>125.75</v>
      </c>
      <c r="F51" s="4">
        <f t="shared" si="1"/>
        <v>3.25</v>
      </c>
      <c r="G51" s="4">
        <f t="shared" si="2"/>
        <v>3.25</v>
      </c>
      <c r="H51" s="4">
        <f t="shared" si="3"/>
        <v>10.5625</v>
      </c>
      <c r="I51" s="4">
        <f t="shared" si="4"/>
        <v>2.5193798449612403E-2</v>
      </c>
    </row>
    <row r="52" spans="1:9" x14ac:dyDescent="0.25">
      <c r="A52" s="4"/>
      <c r="B52" s="4" t="s">
        <v>19</v>
      </c>
      <c r="C52" s="4">
        <v>51</v>
      </c>
      <c r="D52" s="4">
        <f>Data!C52</f>
        <v>71</v>
      </c>
      <c r="E52" s="25">
        <f t="shared" si="0"/>
        <v>125.16666666666667</v>
      </c>
      <c r="F52" s="4">
        <f t="shared" si="1"/>
        <v>-54.166666666666671</v>
      </c>
      <c r="G52" s="4">
        <f t="shared" si="2"/>
        <v>54.166666666666671</v>
      </c>
      <c r="H52" s="4">
        <f t="shared" si="3"/>
        <v>2934.0277777777783</v>
      </c>
      <c r="I52" s="4">
        <f t="shared" si="4"/>
        <v>0.76291079812206575</v>
      </c>
    </row>
    <row r="53" spans="1:9" x14ac:dyDescent="0.25">
      <c r="A53" s="4"/>
      <c r="B53" s="4" t="s">
        <v>20</v>
      </c>
      <c r="C53" s="4">
        <v>52</v>
      </c>
      <c r="D53" s="4">
        <f>Data!C53</f>
        <v>99</v>
      </c>
      <c r="E53" s="25">
        <f t="shared" si="0"/>
        <v>127.58333333333333</v>
      </c>
      <c r="F53" s="4">
        <f t="shared" si="1"/>
        <v>-28.583333333333329</v>
      </c>
      <c r="G53" s="4">
        <f t="shared" si="2"/>
        <v>28.583333333333329</v>
      </c>
      <c r="H53" s="4">
        <f t="shared" si="3"/>
        <v>817.00694444444423</v>
      </c>
      <c r="I53" s="4">
        <f t="shared" si="4"/>
        <v>0.28872053872053866</v>
      </c>
    </row>
    <row r="54" spans="1:9" x14ac:dyDescent="0.25">
      <c r="A54" s="4"/>
      <c r="B54" s="4" t="s">
        <v>21</v>
      </c>
      <c r="C54" s="4">
        <v>53</v>
      </c>
      <c r="D54" s="4">
        <f>Data!C54</f>
        <v>98</v>
      </c>
      <c r="E54" s="25">
        <f t="shared" si="0"/>
        <v>130</v>
      </c>
      <c r="F54" s="4">
        <f t="shared" si="1"/>
        <v>-32</v>
      </c>
      <c r="G54" s="4">
        <f t="shared" si="2"/>
        <v>32</v>
      </c>
      <c r="H54" s="4">
        <f t="shared" si="3"/>
        <v>1024</v>
      </c>
      <c r="I54" s="4">
        <f t="shared" si="4"/>
        <v>0.32653061224489793</v>
      </c>
    </row>
    <row r="55" spans="1:9" x14ac:dyDescent="0.25">
      <c r="A55" s="4"/>
      <c r="B55" s="4" t="s">
        <v>22</v>
      </c>
      <c r="C55" s="4">
        <v>54</v>
      </c>
      <c r="D55" s="4">
        <f>Data!C55</f>
        <v>139</v>
      </c>
      <c r="E55" s="25">
        <f t="shared" si="0"/>
        <v>132.83333333333334</v>
      </c>
      <c r="F55" s="4">
        <f t="shared" si="1"/>
        <v>6.1666666666666572</v>
      </c>
      <c r="G55" s="4">
        <f t="shared" si="2"/>
        <v>6.1666666666666572</v>
      </c>
      <c r="H55" s="4">
        <f t="shared" si="3"/>
        <v>38.027777777777658</v>
      </c>
      <c r="I55" s="4">
        <f t="shared" si="4"/>
        <v>4.4364508393285304E-2</v>
      </c>
    </row>
    <row r="56" spans="1:9" x14ac:dyDescent="0.25">
      <c r="A56" s="4"/>
      <c r="B56" s="4" t="s">
        <v>23</v>
      </c>
      <c r="C56" s="4">
        <v>55</v>
      </c>
      <c r="D56" s="4">
        <f>Data!C56</f>
        <v>90</v>
      </c>
      <c r="E56" s="25">
        <f t="shared" si="0"/>
        <v>138.91666666666666</v>
      </c>
      <c r="F56" s="4">
        <f t="shared" si="1"/>
        <v>-48.916666666666657</v>
      </c>
      <c r="G56" s="4">
        <f t="shared" si="2"/>
        <v>48.916666666666657</v>
      </c>
      <c r="H56" s="4">
        <f t="shared" si="3"/>
        <v>2392.8402777777769</v>
      </c>
      <c r="I56" s="4">
        <f t="shared" si="4"/>
        <v>0.5435185185185184</v>
      </c>
    </row>
    <row r="57" spans="1:9" x14ac:dyDescent="0.25">
      <c r="A57" s="4"/>
      <c r="B57" s="4" t="s">
        <v>24</v>
      </c>
      <c r="C57" s="4">
        <v>56</v>
      </c>
      <c r="D57" s="4">
        <f>Data!C57</f>
        <v>219</v>
      </c>
      <c r="E57" s="25">
        <f t="shared" si="0"/>
        <v>128.5</v>
      </c>
      <c r="F57" s="4">
        <f t="shared" si="1"/>
        <v>90.5</v>
      </c>
      <c r="G57" s="4">
        <f t="shared" si="2"/>
        <v>90.5</v>
      </c>
      <c r="H57" s="4">
        <f t="shared" si="3"/>
        <v>8190.25</v>
      </c>
      <c r="I57" s="4">
        <f t="shared" si="4"/>
        <v>0.4132420091324201</v>
      </c>
    </row>
    <row r="58" spans="1:9" x14ac:dyDescent="0.25">
      <c r="A58" s="4"/>
      <c r="B58" s="4" t="s">
        <v>25</v>
      </c>
      <c r="C58" s="4">
        <v>57</v>
      </c>
      <c r="D58" s="4">
        <f>Data!C58</f>
        <v>206</v>
      </c>
      <c r="E58" s="25">
        <f t="shared" si="0"/>
        <v>126.58333333333333</v>
      </c>
      <c r="F58" s="4">
        <f t="shared" si="1"/>
        <v>79.416666666666671</v>
      </c>
      <c r="G58" s="4">
        <f t="shared" si="2"/>
        <v>79.416666666666671</v>
      </c>
      <c r="H58" s="4">
        <f t="shared" si="3"/>
        <v>6307.0069444444453</v>
      </c>
      <c r="I58" s="4">
        <f t="shared" si="4"/>
        <v>0.38551779935275082</v>
      </c>
    </row>
    <row r="59" spans="1:9" x14ac:dyDescent="0.25">
      <c r="A59" s="4"/>
      <c r="B59" s="4" t="s">
        <v>26</v>
      </c>
      <c r="C59" s="4">
        <v>58</v>
      </c>
      <c r="D59" s="4">
        <f>Data!C59</f>
        <v>186</v>
      </c>
      <c r="E59" s="25">
        <f t="shared" si="0"/>
        <v>126.33333333333333</v>
      </c>
      <c r="F59" s="4">
        <f t="shared" si="1"/>
        <v>59.666666666666671</v>
      </c>
      <c r="G59" s="4">
        <f t="shared" si="2"/>
        <v>59.666666666666671</v>
      </c>
      <c r="H59" s="4">
        <f t="shared" si="3"/>
        <v>3560.1111111111118</v>
      </c>
      <c r="I59" s="4">
        <f t="shared" si="4"/>
        <v>0.32078853046594985</v>
      </c>
    </row>
    <row r="60" spans="1:9" x14ac:dyDescent="0.25">
      <c r="A60" s="4"/>
      <c r="B60" s="4" t="s">
        <v>27</v>
      </c>
      <c r="C60" s="4">
        <v>59</v>
      </c>
      <c r="D60" s="4">
        <f>Data!C60</f>
        <v>140</v>
      </c>
      <c r="E60" s="25">
        <f t="shared" si="0"/>
        <v>133</v>
      </c>
      <c r="F60" s="4">
        <f t="shared" si="1"/>
        <v>7</v>
      </c>
      <c r="G60" s="4">
        <f t="shared" si="2"/>
        <v>7</v>
      </c>
      <c r="H60" s="4">
        <f t="shared" si="3"/>
        <v>49</v>
      </c>
      <c r="I60" s="4">
        <f t="shared" si="4"/>
        <v>0.05</v>
      </c>
    </row>
    <row r="61" spans="1:9" x14ac:dyDescent="0.25">
      <c r="A61" s="4"/>
      <c r="B61" s="4" t="s">
        <v>28</v>
      </c>
      <c r="C61" s="4">
        <v>60</v>
      </c>
      <c r="D61" s="4">
        <f>Data!C61</f>
        <v>61</v>
      </c>
      <c r="E61" s="25">
        <f t="shared" si="0"/>
        <v>130.83333333333334</v>
      </c>
      <c r="F61" s="4">
        <f t="shared" si="1"/>
        <v>-69.833333333333343</v>
      </c>
      <c r="G61" s="4">
        <f t="shared" si="2"/>
        <v>69.833333333333343</v>
      </c>
      <c r="H61" s="4">
        <f t="shared" si="3"/>
        <v>4876.6944444444462</v>
      </c>
      <c r="I61" s="4">
        <f t="shared" si="4"/>
        <v>1.144808743169399</v>
      </c>
    </row>
  </sheetData>
  <sheetProtection algorithmName="SHA-512" hashValue="qgsSdWHV3O4CHaKzL23kw4GjrQqJ3FqEyxPlZ6pfm+Fyb8Qz2IyRgtzGCb7/xu+Or2KQ+O+Icz6dJXDkjtx22g==" saltValue="c50V+l8gSFLTwf374JyhGw==" spinCount="100000" sheet="1" objects="1" scenarios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953AC-5340-422E-9647-9BE7377EB3CA}">
  <sheetPr codeName="Sheet11"/>
  <dimension ref="A1:K61"/>
  <sheetViews>
    <sheetView workbookViewId="0"/>
  </sheetViews>
  <sheetFormatPr defaultRowHeight="15" x14ac:dyDescent="0.25"/>
  <cols>
    <col min="1" max="4" width="16.42578125" customWidth="1"/>
    <col min="9" max="9" width="29" bestFit="1" customWidth="1"/>
  </cols>
  <sheetData>
    <row r="1" spans="1:11" x14ac:dyDescent="0.25">
      <c r="A1" s="4"/>
      <c r="B1" s="4" t="s">
        <v>0</v>
      </c>
      <c r="C1" s="4" t="s">
        <v>2</v>
      </c>
      <c r="D1" s="4" t="s">
        <v>13</v>
      </c>
      <c r="E1" s="4" t="s">
        <v>33</v>
      </c>
      <c r="F1" s="4" t="s">
        <v>34</v>
      </c>
      <c r="G1" s="4" t="s">
        <v>35</v>
      </c>
      <c r="H1" s="4" t="s">
        <v>36</v>
      </c>
      <c r="I1" s="4" t="s">
        <v>37</v>
      </c>
      <c r="J1" s="4"/>
      <c r="K1" s="4"/>
    </row>
    <row r="2" spans="1:11" x14ac:dyDescent="0.25">
      <c r="A2" s="4" t="s">
        <v>13</v>
      </c>
      <c r="B2" s="4" t="s">
        <v>14</v>
      </c>
      <c r="C2" s="4">
        <v>1</v>
      </c>
      <c r="D2" s="4">
        <f>Data!C2</f>
        <v>40</v>
      </c>
      <c r="E2" s="25"/>
      <c r="F2" s="4"/>
      <c r="G2" s="4"/>
      <c r="H2" s="4"/>
      <c r="I2" s="4"/>
      <c r="J2" s="4"/>
      <c r="K2" s="4"/>
    </row>
    <row r="3" spans="1:11" x14ac:dyDescent="0.25">
      <c r="A3" s="4"/>
      <c r="B3" s="4" t="s">
        <v>18</v>
      </c>
      <c r="C3" s="4">
        <v>2</v>
      </c>
      <c r="D3" s="4">
        <f>Data!C3</f>
        <v>214</v>
      </c>
      <c r="E3" s="25"/>
      <c r="F3" s="4"/>
      <c r="G3" s="4"/>
      <c r="H3" s="4"/>
      <c r="I3" s="4"/>
      <c r="J3" s="4"/>
      <c r="K3" s="4"/>
    </row>
    <row r="4" spans="1:11" x14ac:dyDescent="0.25">
      <c r="A4" s="4"/>
      <c r="B4" s="4" t="s">
        <v>19</v>
      </c>
      <c r="C4" s="4">
        <v>3</v>
      </c>
      <c r="D4" s="4">
        <f>Data!C4</f>
        <v>60</v>
      </c>
      <c r="E4" s="25"/>
      <c r="F4" s="4"/>
      <c r="G4" s="4"/>
      <c r="H4" s="4"/>
      <c r="I4" s="4"/>
      <c r="J4" s="4"/>
      <c r="K4" s="4"/>
    </row>
    <row r="5" spans="1:11" x14ac:dyDescent="0.25">
      <c r="A5" s="4"/>
      <c r="B5" s="4" t="s">
        <v>20</v>
      </c>
      <c r="C5" s="4">
        <v>4</v>
      </c>
      <c r="D5" s="4">
        <f>Data!C5</f>
        <v>138</v>
      </c>
      <c r="E5" s="25"/>
      <c r="F5" s="4"/>
      <c r="G5" s="4"/>
      <c r="H5" s="4"/>
      <c r="I5" s="4"/>
      <c r="J5" s="4"/>
      <c r="K5" s="4"/>
    </row>
    <row r="6" spans="1:11" x14ac:dyDescent="0.25">
      <c r="A6" s="4"/>
      <c r="B6" s="4" t="s">
        <v>21</v>
      </c>
      <c r="C6" s="4">
        <v>5</v>
      </c>
      <c r="D6" s="4">
        <f>Data!C6</f>
        <v>65</v>
      </c>
      <c r="E6" s="25"/>
      <c r="F6" s="4"/>
      <c r="G6" s="4"/>
      <c r="H6" s="4"/>
      <c r="I6" s="4"/>
      <c r="J6" s="4"/>
      <c r="K6" s="4"/>
    </row>
    <row r="7" spans="1:11" x14ac:dyDescent="0.25">
      <c r="A7" s="4"/>
      <c r="B7" s="4" t="s">
        <v>22</v>
      </c>
      <c r="C7" s="4">
        <v>6</v>
      </c>
      <c r="D7" s="4">
        <f>Data!C7</f>
        <v>36</v>
      </c>
      <c r="E7" s="25"/>
      <c r="F7" s="4"/>
      <c r="G7" s="4"/>
      <c r="H7" s="4"/>
      <c r="I7" s="4"/>
      <c r="J7" s="4"/>
      <c r="K7" s="4"/>
    </row>
    <row r="8" spans="1:11" x14ac:dyDescent="0.25">
      <c r="A8" s="4"/>
      <c r="B8" s="4" t="s">
        <v>23</v>
      </c>
      <c r="C8" s="4">
        <v>7</v>
      </c>
      <c r="D8" s="4">
        <f>Data!C8</f>
        <v>267</v>
      </c>
      <c r="E8" s="25">
        <f>AVERAGE(D2:D7)</f>
        <v>92.166666666666671</v>
      </c>
      <c r="F8" s="4">
        <f>D8-E8</f>
        <v>174.83333333333331</v>
      </c>
      <c r="G8" s="4">
        <f>ABS(F8)</f>
        <v>174.83333333333331</v>
      </c>
      <c r="H8" s="4">
        <f>G8^2</f>
        <v>30566.694444444438</v>
      </c>
      <c r="I8" s="4">
        <f>G8/D8</f>
        <v>0.6548064918851435</v>
      </c>
      <c r="J8" s="4"/>
      <c r="K8" s="4"/>
    </row>
    <row r="9" spans="1:11" x14ac:dyDescent="0.25">
      <c r="A9" s="4"/>
      <c r="B9" s="4" t="s">
        <v>24</v>
      </c>
      <c r="C9" s="4">
        <v>8</v>
      </c>
      <c r="D9" s="4">
        <f>Data!C9</f>
        <v>103</v>
      </c>
      <c r="E9" s="25">
        <f t="shared" ref="E9:E61" si="0">AVERAGE(D3:D8)</f>
        <v>130</v>
      </c>
      <c r="F9" s="4">
        <f t="shared" ref="F9:F61" si="1">D9-E9</f>
        <v>-27</v>
      </c>
      <c r="G9" s="4">
        <f t="shared" ref="G9:G61" si="2">ABS(F9)</f>
        <v>27</v>
      </c>
      <c r="H9" s="4">
        <f t="shared" ref="H9:H61" si="3">G9^2</f>
        <v>729</v>
      </c>
      <c r="I9" s="4">
        <f t="shared" ref="I9:I61" si="4">G9/D9</f>
        <v>0.26213592233009708</v>
      </c>
      <c r="J9" s="4"/>
      <c r="K9" s="4"/>
    </row>
    <row r="10" spans="1:11" x14ac:dyDescent="0.25">
      <c r="A10" s="4"/>
      <c r="B10" s="4" t="s">
        <v>25</v>
      </c>
      <c r="C10" s="4">
        <v>9</v>
      </c>
      <c r="D10" s="4">
        <f>Data!C10</f>
        <v>164</v>
      </c>
      <c r="E10" s="25">
        <f t="shared" si="0"/>
        <v>111.5</v>
      </c>
      <c r="F10" s="4">
        <f t="shared" si="1"/>
        <v>52.5</v>
      </c>
      <c r="G10" s="4">
        <f t="shared" si="2"/>
        <v>52.5</v>
      </c>
      <c r="H10" s="4">
        <f t="shared" si="3"/>
        <v>2756.25</v>
      </c>
      <c r="I10" s="4">
        <f t="shared" si="4"/>
        <v>0.3201219512195122</v>
      </c>
      <c r="J10" s="4"/>
      <c r="K10" s="4"/>
    </row>
    <row r="11" spans="1:11" x14ac:dyDescent="0.25">
      <c r="A11" s="4"/>
      <c r="B11" s="4" t="s">
        <v>26</v>
      </c>
      <c r="C11" s="4">
        <v>10</v>
      </c>
      <c r="D11" s="4">
        <f>Data!C11</f>
        <v>232</v>
      </c>
      <c r="E11" s="25">
        <f t="shared" si="0"/>
        <v>128.83333333333334</v>
      </c>
      <c r="F11" s="4">
        <f t="shared" si="1"/>
        <v>103.16666666666666</v>
      </c>
      <c r="G11" s="4">
        <f t="shared" si="2"/>
        <v>103.16666666666666</v>
      </c>
      <c r="H11" s="4">
        <f t="shared" si="3"/>
        <v>10643.361111111109</v>
      </c>
      <c r="I11" s="4">
        <f t="shared" si="4"/>
        <v>0.44468390804597696</v>
      </c>
      <c r="J11" s="4"/>
      <c r="K11" s="4"/>
    </row>
    <row r="12" spans="1:11" x14ac:dyDescent="0.25">
      <c r="A12" s="4"/>
      <c r="B12" s="4" t="s">
        <v>27</v>
      </c>
      <c r="C12" s="4">
        <v>11</v>
      </c>
      <c r="D12" s="4">
        <f>Data!C12</f>
        <v>140</v>
      </c>
      <c r="E12" s="25">
        <f t="shared" si="0"/>
        <v>144.5</v>
      </c>
      <c r="F12" s="4">
        <f t="shared" si="1"/>
        <v>-4.5</v>
      </c>
      <c r="G12" s="4">
        <f t="shared" si="2"/>
        <v>4.5</v>
      </c>
      <c r="H12" s="4">
        <f t="shared" si="3"/>
        <v>20.25</v>
      </c>
      <c r="I12" s="4">
        <f t="shared" si="4"/>
        <v>3.214285714285714E-2</v>
      </c>
      <c r="J12" s="4"/>
      <c r="K12" s="4"/>
    </row>
    <row r="13" spans="1:11" x14ac:dyDescent="0.25">
      <c r="A13" s="4"/>
      <c r="B13" s="4" t="s">
        <v>28</v>
      </c>
      <c r="C13" s="4">
        <v>12</v>
      </c>
      <c r="D13" s="4">
        <f>Data!C13</f>
        <v>132</v>
      </c>
      <c r="E13" s="25">
        <f t="shared" si="0"/>
        <v>157</v>
      </c>
      <c r="F13" s="4">
        <f t="shared" si="1"/>
        <v>-25</v>
      </c>
      <c r="G13" s="4">
        <f t="shared" si="2"/>
        <v>25</v>
      </c>
      <c r="H13" s="4">
        <f t="shared" si="3"/>
        <v>625</v>
      </c>
      <c r="I13" s="4">
        <f t="shared" si="4"/>
        <v>0.18939393939393939</v>
      </c>
      <c r="J13" s="4"/>
      <c r="K13" s="4"/>
    </row>
    <row r="14" spans="1:11" x14ac:dyDescent="0.25">
      <c r="A14" s="4" t="s">
        <v>29</v>
      </c>
      <c r="B14" s="4" t="s">
        <v>14</v>
      </c>
      <c r="C14" s="4">
        <v>13</v>
      </c>
      <c r="D14" s="4">
        <f>Data!C14</f>
        <v>59</v>
      </c>
      <c r="E14" s="25">
        <f t="shared" si="0"/>
        <v>173</v>
      </c>
      <c r="F14" s="4">
        <f t="shared" si="1"/>
        <v>-114</v>
      </c>
      <c r="G14" s="4">
        <f t="shared" si="2"/>
        <v>114</v>
      </c>
      <c r="H14" s="4">
        <f t="shared" si="3"/>
        <v>12996</v>
      </c>
      <c r="I14" s="4">
        <f t="shared" si="4"/>
        <v>1.9322033898305084</v>
      </c>
      <c r="J14" s="4"/>
      <c r="K14" s="4"/>
    </row>
    <row r="15" spans="1:11" x14ac:dyDescent="0.25">
      <c r="A15" s="4"/>
      <c r="B15" s="4" t="s">
        <v>18</v>
      </c>
      <c r="C15" s="4">
        <v>14</v>
      </c>
      <c r="D15" s="4">
        <f>Data!C15</f>
        <v>228</v>
      </c>
      <c r="E15" s="25">
        <f t="shared" si="0"/>
        <v>138.33333333333334</v>
      </c>
      <c r="F15" s="4">
        <f t="shared" si="1"/>
        <v>89.666666666666657</v>
      </c>
      <c r="G15" s="4">
        <f t="shared" si="2"/>
        <v>89.666666666666657</v>
      </c>
      <c r="H15" s="4">
        <f t="shared" si="3"/>
        <v>8040.1111111111095</v>
      </c>
      <c r="I15" s="4">
        <f t="shared" si="4"/>
        <v>0.39327485380116955</v>
      </c>
      <c r="J15" s="4"/>
      <c r="K15" s="4"/>
    </row>
    <row r="16" spans="1:11" x14ac:dyDescent="0.25">
      <c r="A16" s="4"/>
      <c r="B16" s="4" t="s">
        <v>19</v>
      </c>
      <c r="C16" s="4">
        <v>15</v>
      </c>
      <c r="D16" s="4">
        <f>Data!C16</f>
        <v>51</v>
      </c>
      <c r="E16" s="25">
        <f t="shared" si="0"/>
        <v>159.16666666666666</v>
      </c>
      <c r="F16" s="4">
        <f t="shared" si="1"/>
        <v>-108.16666666666666</v>
      </c>
      <c r="G16" s="4">
        <f t="shared" si="2"/>
        <v>108.16666666666666</v>
      </c>
      <c r="H16" s="4">
        <f t="shared" si="3"/>
        <v>11700.027777777776</v>
      </c>
      <c r="I16" s="4">
        <f t="shared" si="4"/>
        <v>2.1209150326797386</v>
      </c>
      <c r="J16" s="4"/>
      <c r="K16" s="4"/>
    </row>
    <row r="17" spans="1:11" x14ac:dyDescent="0.25">
      <c r="A17" s="4"/>
      <c r="B17" s="4" t="s">
        <v>20</v>
      </c>
      <c r="C17" s="4">
        <v>16</v>
      </c>
      <c r="D17" s="4">
        <f>Data!C17</f>
        <v>123</v>
      </c>
      <c r="E17" s="25">
        <f t="shared" si="0"/>
        <v>140.33333333333334</v>
      </c>
      <c r="F17" s="4">
        <f t="shared" si="1"/>
        <v>-17.333333333333343</v>
      </c>
      <c r="G17" s="4">
        <f t="shared" si="2"/>
        <v>17.333333333333343</v>
      </c>
      <c r="H17" s="4">
        <f t="shared" si="3"/>
        <v>300.4444444444448</v>
      </c>
      <c r="I17" s="4">
        <f t="shared" si="4"/>
        <v>0.14092140921409221</v>
      </c>
      <c r="J17" s="4"/>
      <c r="K17" s="4"/>
    </row>
    <row r="18" spans="1:11" x14ac:dyDescent="0.25">
      <c r="A18" s="4"/>
      <c r="B18" s="4" t="s">
        <v>21</v>
      </c>
      <c r="C18" s="4">
        <v>17</v>
      </c>
      <c r="D18" s="4">
        <f>Data!C18</f>
        <v>98</v>
      </c>
      <c r="E18" s="25">
        <f t="shared" si="0"/>
        <v>122.16666666666667</v>
      </c>
      <c r="F18" s="4">
        <f t="shared" si="1"/>
        <v>-24.166666666666671</v>
      </c>
      <c r="G18" s="4">
        <f t="shared" si="2"/>
        <v>24.166666666666671</v>
      </c>
      <c r="H18" s="4">
        <f t="shared" si="3"/>
        <v>584.02777777777806</v>
      </c>
      <c r="I18" s="4">
        <f t="shared" si="4"/>
        <v>0.24659863945578236</v>
      </c>
      <c r="J18" s="4"/>
      <c r="K18" s="4"/>
    </row>
    <row r="19" spans="1:11" x14ac:dyDescent="0.25">
      <c r="A19" s="4"/>
      <c r="B19" s="4" t="s">
        <v>22</v>
      </c>
      <c r="C19" s="4">
        <v>18</v>
      </c>
      <c r="D19" s="4">
        <f>Data!C19</f>
        <v>124</v>
      </c>
      <c r="E19" s="25">
        <f t="shared" si="0"/>
        <v>115.16666666666667</v>
      </c>
      <c r="F19" s="4">
        <f t="shared" si="1"/>
        <v>8.8333333333333286</v>
      </c>
      <c r="G19" s="4">
        <f t="shared" si="2"/>
        <v>8.8333333333333286</v>
      </c>
      <c r="H19" s="4">
        <f t="shared" si="3"/>
        <v>78.0277777777777</v>
      </c>
      <c r="I19" s="4">
        <f t="shared" si="4"/>
        <v>7.1236559139784911E-2</v>
      </c>
      <c r="J19" s="4"/>
      <c r="K19" s="4"/>
    </row>
    <row r="20" spans="1:11" x14ac:dyDescent="0.25">
      <c r="A20" s="4"/>
      <c r="B20" s="4" t="s">
        <v>23</v>
      </c>
      <c r="C20" s="4">
        <v>19</v>
      </c>
      <c r="D20" s="4">
        <f>Data!C20</f>
        <v>163</v>
      </c>
      <c r="E20" s="25">
        <f t="shared" si="0"/>
        <v>113.83333333333333</v>
      </c>
      <c r="F20" s="4">
        <f t="shared" si="1"/>
        <v>49.166666666666671</v>
      </c>
      <c r="G20" s="4">
        <f t="shared" si="2"/>
        <v>49.166666666666671</v>
      </c>
      <c r="H20" s="4">
        <f t="shared" si="3"/>
        <v>2417.3611111111118</v>
      </c>
      <c r="I20" s="4">
        <f t="shared" si="4"/>
        <v>0.30163599182004092</v>
      </c>
      <c r="J20" s="4"/>
      <c r="K20" s="4"/>
    </row>
    <row r="21" spans="1:11" x14ac:dyDescent="0.25">
      <c r="A21" s="4"/>
      <c r="B21" s="4" t="s">
        <v>24</v>
      </c>
      <c r="C21" s="4">
        <v>20</v>
      </c>
      <c r="D21" s="4">
        <f>Data!C21</f>
        <v>357</v>
      </c>
      <c r="E21" s="25">
        <f t="shared" si="0"/>
        <v>131.16666666666666</v>
      </c>
      <c r="F21" s="4">
        <f t="shared" si="1"/>
        <v>225.83333333333334</v>
      </c>
      <c r="G21" s="4">
        <f t="shared" si="2"/>
        <v>225.83333333333334</v>
      </c>
      <c r="H21" s="4">
        <f t="shared" si="3"/>
        <v>51000.694444444445</v>
      </c>
      <c r="I21" s="4">
        <f t="shared" si="4"/>
        <v>0.6325863678804855</v>
      </c>
      <c r="J21" s="4"/>
      <c r="K21" s="4"/>
    </row>
    <row r="22" spans="1:11" x14ac:dyDescent="0.25">
      <c r="A22" s="4"/>
      <c r="B22" s="4" t="s">
        <v>25</v>
      </c>
      <c r="C22" s="4">
        <v>21</v>
      </c>
      <c r="D22" s="4">
        <f>Data!C22</f>
        <v>133</v>
      </c>
      <c r="E22" s="25">
        <f t="shared" si="0"/>
        <v>152.66666666666666</v>
      </c>
      <c r="F22" s="4">
        <f t="shared" si="1"/>
        <v>-19.666666666666657</v>
      </c>
      <c r="G22" s="4">
        <f t="shared" si="2"/>
        <v>19.666666666666657</v>
      </c>
      <c r="H22" s="4">
        <f t="shared" si="3"/>
        <v>386.77777777777743</v>
      </c>
      <c r="I22" s="4">
        <f t="shared" si="4"/>
        <v>0.1478696741854636</v>
      </c>
      <c r="J22" s="4"/>
      <c r="K22" s="4"/>
    </row>
    <row r="23" spans="1:11" x14ac:dyDescent="0.25">
      <c r="A23" s="4"/>
      <c r="B23" s="4" t="s">
        <v>26</v>
      </c>
      <c r="C23" s="4">
        <v>22</v>
      </c>
      <c r="D23" s="4">
        <f>Data!C23</f>
        <v>161</v>
      </c>
      <c r="E23" s="25">
        <f t="shared" si="0"/>
        <v>166.33333333333334</v>
      </c>
      <c r="F23" s="4">
        <f t="shared" si="1"/>
        <v>-5.3333333333333428</v>
      </c>
      <c r="G23" s="4">
        <f t="shared" si="2"/>
        <v>5.3333333333333428</v>
      </c>
      <c r="H23" s="4">
        <f t="shared" si="3"/>
        <v>28.444444444444546</v>
      </c>
      <c r="I23" s="4">
        <f t="shared" si="4"/>
        <v>3.3126293995859271E-2</v>
      </c>
      <c r="J23" s="4"/>
      <c r="K23" s="4"/>
    </row>
    <row r="24" spans="1:11" x14ac:dyDescent="0.25">
      <c r="A24" s="4"/>
      <c r="B24" s="4" t="s">
        <v>27</v>
      </c>
      <c r="C24" s="4">
        <v>23</v>
      </c>
      <c r="D24" s="4">
        <f>Data!C24</f>
        <v>157</v>
      </c>
      <c r="E24" s="25">
        <f t="shared" si="0"/>
        <v>172.66666666666666</v>
      </c>
      <c r="F24" s="4">
        <f t="shared" si="1"/>
        <v>-15.666666666666657</v>
      </c>
      <c r="G24" s="4">
        <f t="shared" si="2"/>
        <v>15.666666666666657</v>
      </c>
      <c r="H24" s="4">
        <f t="shared" si="3"/>
        <v>245.44444444444414</v>
      </c>
      <c r="I24" s="4">
        <f t="shared" si="4"/>
        <v>9.9787685774946858E-2</v>
      </c>
      <c r="J24" s="4"/>
      <c r="K24" s="4"/>
    </row>
    <row r="25" spans="1:11" x14ac:dyDescent="0.25">
      <c r="A25" s="4"/>
      <c r="B25" s="4" t="s">
        <v>28</v>
      </c>
      <c r="C25" s="4">
        <v>24</v>
      </c>
      <c r="D25" s="4">
        <f>Data!C25</f>
        <v>51</v>
      </c>
      <c r="E25" s="25">
        <f t="shared" si="0"/>
        <v>182.5</v>
      </c>
      <c r="F25" s="4">
        <f t="shared" si="1"/>
        <v>-131.5</v>
      </c>
      <c r="G25" s="4">
        <f t="shared" si="2"/>
        <v>131.5</v>
      </c>
      <c r="H25" s="4">
        <f t="shared" si="3"/>
        <v>17292.25</v>
      </c>
      <c r="I25" s="4">
        <f t="shared" si="4"/>
        <v>2.5784313725490198</v>
      </c>
      <c r="J25" s="4"/>
      <c r="K25" s="4"/>
    </row>
    <row r="26" spans="1:11" x14ac:dyDescent="0.25">
      <c r="A26" s="4" t="s">
        <v>30</v>
      </c>
      <c r="B26" s="4" t="s">
        <v>14</v>
      </c>
      <c r="C26" s="4">
        <v>25</v>
      </c>
      <c r="D26" s="4">
        <f>Data!C26</f>
        <v>140</v>
      </c>
      <c r="E26" s="25">
        <f t="shared" si="0"/>
        <v>170.33333333333334</v>
      </c>
      <c r="F26" s="4">
        <f t="shared" si="1"/>
        <v>-30.333333333333343</v>
      </c>
      <c r="G26" s="4">
        <f t="shared" si="2"/>
        <v>30.333333333333343</v>
      </c>
      <c r="H26" s="4">
        <f t="shared" si="3"/>
        <v>920.11111111111165</v>
      </c>
      <c r="I26" s="4">
        <f t="shared" si="4"/>
        <v>0.21666666666666673</v>
      </c>
      <c r="J26" s="4"/>
      <c r="K26" s="4"/>
    </row>
    <row r="27" spans="1:11" x14ac:dyDescent="0.25">
      <c r="A27" s="4"/>
      <c r="B27" s="4" t="s">
        <v>18</v>
      </c>
      <c r="C27" s="4">
        <v>26</v>
      </c>
      <c r="D27" s="4">
        <f>Data!C27</f>
        <v>105</v>
      </c>
      <c r="E27" s="25">
        <f t="shared" si="0"/>
        <v>166.5</v>
      </c>
      <c r="F27" s="4">
        <f t="shared" si="1"/>
        <v>-61.5</v>
      </c>
      <c r="G27" s="4">
        <f t="shared" si="2"/>
        <v>61.5</v>
      </c>
      <c r="H27" s="4">
        <f t="shared" si="3"/>
        <v>3782.25</v>
      </c>
      <c r="I27" s="4">
        <f t="shared" si="4"/>
        <v>0.58571428571428574</v>
      </c>
      <c r="J27" s="4"/>
      <c r="K27" s="4"/>
    </row>
    <row r="28" spans="1:11" x14ac:dyDescent="0.25">
      <c r="A28" s="4"/>
      <c r="B28" s="4" t="s">
        <v>19</v>
      </c>
      <c r="C28" s="4">
        <v>27</v>
      </c>
      <c r="D28" s="4">
        <f>Data!C28</f>
        <v>147</v>
      </c>
      <c r="E28" s="25">
        <f t="shared" si="0"/>
        <v>124.5</v>
      </c>
      <c r="F28" s="4">
        <f t="shared" si="1"/>
        <v>22.5</v>
      </c>
      <c r="G28" s="4">
        <f t="shared" si="2"/>
        <v>22.5</v>
      </c>
      <c r="H28" s="4">
        <f t="shared" si="3"/>
        <v>506.25</v>
      </c>
      <c r="I28" s="4">
        <f t="shared" si="4"/>
        <v>0.15306122448979592</v>
      </c>
      <c r="J28" s="4"/>
      <c r="K28" s="4"/>
    </row>
    <row r="29" spans="1:11" x14ac:dyDescent="0.25">
      <c r="A29" s="4"/>
      <c r="B29" s="4" t="s">
        <v>20</v>
      </c>
      <c r="C29" s="4">
        <v>28</v>
      </c>
      <c r="D29" s="4">
        <f>Data!C29</f>
        <v>88</v>
      </c>
      <c r="E29" s="25">
        <f t="shared" si="0"/>
        <v>126.83333333333333</v>
      </c>
      <c r="F29" s="4">
        <f t="shared" si="1"/>
        <v>-38.833333333333329</v>
      </c>
      <c r="G29" s="4">
        <f t="shared" si="2"/>
        <v>38.833333333333329</v>
      </c>
      <c r="H29" s="4">
        <f t="shared" si="3"/>
        <v>1508.0277777777774</v>
      </c>
      <c r="I29" s="4">
        <f t="shared" si="4"/>
        <v>0.44128787878787873</v>
      </c>
      <c r="J29" s="4"/>
      <c r="K29" s="4"/>
    </row>
    <row r="30" spans="1:11" x14ac:dyDescent="0.25">
      <c r="A30" s="4"/>
      <c r="B30" s="4" t="s">
        <v>21</v>
      </c>
      <c r="C30" s="4">
        <v>29</v>
      </c>
      <c r="D30" s="4">
        <f>Data!C30</f>
        <v>83</v>
      </c>
      <c r="E30" s="25">
        <f t="shared" si="0"/>
        <v>114.66666666666667</v>
      </c>
      <c r="F30" s="4">
        <f t="shared" si="1"/>
        <v>-31.666666666666671</v>
      </c>
      <c r="G30" s="4">
        <f t="shared" si="2"/>
        <v>31.666666666666671</v>
      </c>
      <c r="H30" s="4">
        <f t="shared" si="3"/>
        <v>1002.7777777777781</v>
      </c>
      <c r="I30" s="4">
        <f t="shared" si="4"/>
        <v>0.38152610441767076</v>
      </c>
      <c r="J30" s="4"/>
      <c r="K30" s="4"/>
    </row>
    <row r="31" spans="1:11" x14ac:dyDescent="0.25">
      <c r="A31" s="4"/>
      <c r="B31" s="4" t="s">
        <v>22</v>
      </c>
      <c r="C31" s="4">
        <v>30</v>
      </c>
      <c r="D31" s="4">
        <f>Data!C31</f>
        <v>77</v>
      </c>
      <c r="E31" s="25">
        <f t="shared" si="0"/>
        <v>102.33333333333333</v>
      </c>
      <c r="F31" s="4">
        <f t="shared" si="1"/>
        <v>-25.333333333333329</v>
      </c>
      <c r="G31" s="4">
        <f t="shared" si="2"/>
        <v>25.333333333333329</v>
      </c>
      <c r="H31" s="4">
        <f t="shared" si="3"/>
        <v>641.77777777777749</v>
      </c>
      <c r="I31" s="4">
        <f t="shared" si="4"/>
        <v>0.32900432900432897</v>
      </c>
      <c r="J31" s="4"/>
      <c r="K31" s="4"/>
    </row>
    <row r="32" spans="1:11" x14ac:dyDescent="0.25">
      <c r="A32" s="4"/>
      <c r="B32" s="4" t="s">
        <v>23</v>
      </c>
      <c r="C32" s="4">
        <v>31</v>
      </c>
      <c r="D32" s="4">
        <f>Data!C32</f>
        <v>89</v>
      </c>
      <c r="E32" s="25">
        <f t="shared" si="0"/>
        <v>106.66666666666667</v>
      </c>
      <c r="F32" s="4">
        <f t="shared" si="1"/>
        <v>-17.666666666666671</v>
      </c>
      <c r="G32" s="4">
        <f t="shared" si="2"/>
        <v>17.666666666666671</v>
      </c>
      <c r="H32" s="4">
        <f t="shared" si="3"/>
        <v>312.11111111111126</v>
      </c>
      <c r="I32" s="4">
        <f t="shared" si="4"/>
        <v>0.19850187265917607</v>
      </c>
      <c r="J32" s="4"/>
      <c r="K32" s="4"/>
    </row>
    <row r="33" spans="1:11" x14ac:dyDescent="0.25">
      <c r="A33" s="4"/>
      <c r="B33" s="4" t="s">
        <v>24</v>
      </c>
      <c r="C33" s="4">
        <v>32</v>
      </c>
      <c r="D33" s="4">
        <f>Data!C33</f>
        <v>154</v>
      </c>
      <c r="E33" s="25">
        <f t="shared" si="0"/>
        <v>98.166666666666671</v>
      </c>
      <c r="F33" s="4">
        <f t="shared" si="1"/>
        <v>55.833333333333329</v>
      </c>
      <c r="G33" s="4">
        <f t="shared" si="2"/>
        <v>55.833333333333329</v>
      </c>
      <c r="H33" s="4">
        <f t="shared" si="3"/>
        <v>3117.3611111111104</v>
      </c>
      <c r="I33" s="4">
        <f t="shared" si="4"/>
        <v>0.36255411255411252</v>
      </c>
      <c r="J33" s="4"/>
      <c r="K33" s="4"/>
    </row>
    <row r="34" spans="1:11" x14ac:dyDescent="0.25">
      <c r="A34" s="4"/>
      <c r="B34" s="4" t="s">
        <v>25</v>
      </c>
      <c r="C34" s="4">
        <v>33</v>
      </c>
      <c r="D34" s="4">
        <f>Data!C34</f>
        <v>140</v>
      </c>
      <c r="E34" s="25">
        <f t="shared" si="0"/>
        <v>106.33333333333333</v>
      </c>
      <c r="F34" s="4">
        <f t="shared" si="1"/>
        <v>33.666666666666671</v>
      </c>
      <c r="G34" s="4">
        <f t="shared" si="2"/>
        <v>33.666666666666671</v>
      </c>
      <c r="H34" s="4">
        <f t="shared" si="3"/>
        <v>1133.4444444444448</v>
      </c>
      <c r="I34" s="4">
        <f t="shared" si="4"/>
        <v>0.24047619047619051</v>
      </c>
      <c r="J34" s="4"/>
      <c r="K34" s="4"/>
    </row>
    <row r="35" spans="1:11" x14ac:dyDescent="0.25">
      <c r="A35" s="4"/>
      <c r="B35" s="4" t="s">
        <v>26</v>
      </c>
      <c r="C35" s="4">
        <v>34</v>
      </c>
      <c r="D35" s="4">
        <f>Data!C35</f>
        <v>148</v>
      </c>
      <c r="E35" s="25">
        <f t="shared" si="0"/>
        <v>105.16666666666667</v>
      </c>
      <c r="F35" s="4">
        <f t="shared" si="1"/>
        <v>42.833333333333329</v>
      </c>
      <c r="G35" s="4">
        <f t="shared" si="2"/>
        <v>42.833333333333329</v>
      </c>
      <c r="H35" s="4">
        <f t="shared" si="3"/>
        <v>1834.6944444444441</v>
      </c>
      <c r="I35" s="4">
        <f t="shared" si="4"/>
        <v>0.2894144144144144</v>
      </c>
      <c r="J35" s="4"/>
      <c r="K35" s="4"/>
    </row>
    <row r="36" spans="1:11" x14ac:dyDescent="0.25">
      <c r="A36" s="4"/>
      <c r="B36" s="4" t="s">
        <v>27</v>
      </c>
      <c r="C36" s="4">
        <v>35</v>
      </c>
      <c r="D36" s="4">
        <f>Data!C36</f>
        <v>125</v>
      </c>
      <c r="E36" s="25">
        <f t="shared" si="0"/>
        <v>115.16666666666667</v>
      </c>
      <c r="F36" s="4">
        <f t="shared" si="1"/>
        <v>9.8333333333333286</v>
      </c>
      <c r="G36" s="4">
        <f t="shared" si="2"/>
        <v>9.8333333333333286</v>
      </c>
      <c r="H36" s="4">
        <f t="shared" si="3"/>
        <v>96.694444444444358</v>
      </c>
      <c r="I36" s="4">
        <f t="shared" si="4"/>
        <v>7.8666666666666635E-2</v>
      </c>
      <c r="J36" s="4"/>
      <c r="K36" s="4"/>
    </row>
    <row r="37" spans="1:11" x14ac:dyDescent="0.25">
      <c r="A37" s="4"/>
      <c r="B37" s="4" t="s">
        <v>28</v>
      </c>
      <c r="C37" s="4">
        <v>36</v>
      </c>
      <c r="D37" s="4">
        <f>Data!C37</f>
        <v>83</v>
      </c>
      <c r="E37" s="25">
        <f t="shared" si="0"/>
        <v>122.16666666666667</v>
      </c>
      <c r="F37" s="4">
        <f t="shared" si="1"/>
        <v>-39.166666666666671</v>
      </c>
      <c r="G37" s="4">
        <f t="shared" si="2"/>
        <v>39.166666666666671</v>
      </c>
      <c r="H37" s="4">
        <f t="shared" si="3"/>
        <v>1534.0277777777781</v>
      </c>
      <c r="I37" s="4">
        <f t="shared" si="4"/>
        <v>0.47188755020080325</v>
      </c>
      <c r="J37" s="4"/>
      <c r="K37" s="4"/>
    </row>
    <row r="38" spans="1:11" x14ac:dyDescent="0.25">
      <c r="A38" s="4" t="s">
        <v>31</v>
      </c>
      <c r="B38" s="4" t="s">
        <v>14</v>
      </c>
      <c r="C38" s="4">
        <v>37</v>
      </c>
      <c r="D38" s="4">
        <f>Data!C38</f>
        <v>238</v>
      </c>
      <c r="E38" s="25">
        <f t="shared" si="0"/>
        <v>123.16666666666667</v>
      </c>
      <c r="F38" s="4">
        <f t="shared" si="1"/>
        <v>114.83333333333333</v>
      </c>
      <c r="G38" s="4">
        <f t="shared" si="2"/>
        <v>114.83333333333333</v>
      </c>
      <c r="H38" s="4">
        <f t="shared" si="3"/>
        <v>13186.694444444443</v>
      </c>
      <c r="I38" s="4">
        <f t="shared" si="4"/>
        <v>0.48249299719887956</v>
      </c>
      <c r="J38" s="4"/>
      <c r="K38" s="4"/>
    </row>
    <row r="39" spans="1:11" x14ac:dyDescent="0.25">
      <c r="A39" s="4"/>
      <c r="B39" s="4" t="s">
        <v>18</v>
      </c>
      <c r="C39" s="4">
        <v>38</v>
      </c>
      <c r="D39" s="4">
        <f>Data!C39</f>
        <v>136</v>
      </c>
      <c r="E39" s="25">
        <f t="shared" si="0"/>
        <v>148</v>
      </c>
      <c r="F39" s="4">
        <f t="shared" si="1"/>
        <v>-12</v>
      </c>
      <c r="G39" s="4">
        <f t="shared" si="2"/>
        <v>12</v>
      </c>
      <c r="H39" s="4">
        <f t="shared" si="3"/>
        <v>144</v>
      </c>
      <c r="I39" s="4">
        <f t="shared" si="4"/>
        <v>8.8235294117647065E-2</v>
      </c>
      <c r="J39" s="4"/>
      <c r="K39" s="4"/>
    </row>
    <row r="40" spans="1:11" x14ac:dyDescent="0.25">
      <c r="A40" s="4"/>
      <c r="B40" s="4" t="s">
        <v>19</v>
      </c>
      <c r="C40" s="4">
        <v>39</v>
      </c>
      <c r="D40" s="4">
        <f>Data!C40</f>
        <v>42</v>
      </c>
      <c r="E40" s="25">
        <f t="shared" si="0"/>
        <v>145</v>
      </c>
      <c r="F40" s="4">
        <f t="shared" si="1"/>
        <v>-103</v>
      </c>
      <c r="G40" s="4">
        <f t="shared" si="2"/>
        <v>103</v>
      </c>
      <c r="H40" s="4">
        <f t="shared" si="3"/>
        <v>10609</v>
      </c>
      <c r="I40" s="4">
        <f t="shared" si="4"/>
        <v>2.4523809523809526</v>
      </c>
      <c r="J40" s="4"/>
      <c r="K40" s="4"/>
    </row>
    <row r="41" spans="1:11" x14ac:dyDescent="0.25">
      <c r="A41" s="4"/>
      <c r="B41" s="4" t="s">
        <v>20</v>
      </c>
      <c r="C41" s="4">
        <v>40</v>
      </c>
      <c r="D41" s="4">
        <f>Data!C41</f>
        <v>70</v>
      </c>
      <c r="E41" s="25">
        <f t="shared" si="0"/>
        <v>128.66666666666666</v>
      </c>
      <c r="F41" s="4">
        <f t="shared" si="1"/>
        <v>-58.666666666666657</v>
      </c>
      <c r="G41" s="4">
        <f t="shared" si="2"/>
        <v>58.666666666666657</v>
      </c>
      <c r="H41" s="4">
        <f t="shared" si="3"/>
        <v>3441.7777777777765</v>
      </c>
      <c r="I41" s="4">
        <f t="shared" si="4"/>
        <v>0.838095238095238</v>
      </c>
      <c r="J41" s="4"/>
      <c r="K41" s="4"/>
    </row>
    <row r="42" spans="1:11" x14ac:dyDescent="0.25">
      <c r="A42" s="4"/>
      <c r="B42" s="4" t="s">
        <v>21</v>
      </c>
      <c r="C42" s="4">
        <v>41</v>
      </c>
      <c r="D42" s="4">
        <f>Data!C42</f>
        <v>64</v>
      </c>
      <c r="E42" s="25">
        <f t="shared" si="0"/>
        <v>115.66666666666667</v>
      </c>
      <c r="F42" s="4">
        <f t="shared" si="1"/>
        <v>-51.666666666666671</v>
      </c>
      <c r="G42" s="4">
        <f t="shared" si="2"/>
        <v>51.666666666666671</v>
      </c>
      <c r="H42" s="4">
        <f t="shared" si="3"/>
        <v>2669.4444444444448</v>
      </c>
      <c r="I42" s="4">
        <f t="shared" si="4"/>
        <v>0.80729166666666674</v>
      </c>
      <c r="J42" s="4"/>
      <c r="K42" s="4"/>
    </row>
    <row r="43" spans="1:11" x14ac:dyDescent="0.25">
      <c r="A43" s="4"/>
      <c r="B43" s="4" t="s">
        <v>22</v>
      </c>
      <c r="C43" s="4">
        <v>42</v>
      </c>
      <c r="D43" s="4">
        <f>Data!C43</f>
        <v>66</v>
      </c>
      <c r="E43" s="25">
        <f t="shared" si="0"/>
        <v>105.5</v>
      </c>
      <c r="F43" s="4">
        <f t="shared" si="1"/>
        <v>-39.5</v>
      </c>
      <c r="G43" s="4">
        <f t="shared" si="2"/>
        <v>39.5</v>
      </c>
      <c r="H43" s="4">
        <f t="shared" si="3"/>
        <v>1560.25</v>
      </c>
      <c r="I43" s="4">
        <f t="shared" si="4"/>
        <v>0.59848484848484851</v>
      </c>
      <c r="J43" s="4"/>
      <c r="K43" s="4"/>
    </row>
    <row r="44" spans="1:11" x14ac:dyDescent="0.25">
      <c r="A44" s="4"/>
      <c r="B44" s="4" t="s">
        <v>23</v>
      </c>
      <c r="C44" s="4">
        <v>43</v>
      </c>
      <c r="D44" s="4">
        <f>Data!C44</f>
        <v>215</v>
      </c>
      <c r="E44" s="25">
        <f t="shared" si="0"/>
        <v>102.66666666666667</v>
      </c>
      <c r="F44" s="4">
        <f t="shared" si="1"/>
        <v>112.33333333333333</v>
      </c>
      <c r="G44" s="4">
        <f t="shared" si="2"/>
        <v>112.33333333333333</v>
      </c>
      <c r="H44" s="4">
        <f t="shared" si="3"/>
        <v>12618.777777777777</v>
      </c>
      <c r="I44" s="4">
        <f t="shared" si="4"/>
        <v>0.52248062015503871</v>
      </c>
      <c r="J44" s="4"/>
      <c r="K44" s="4"/>
    </row>
    <row r="45" spans="1:11" x14ac:dyDescent="0.25">
      <c r="A45" s="4"/>
      <c r="B45" s="4" t="s">
        <v>24</v>
      </c>
      <c r="C45" s="4">
        <v>44</v>
      </c>
      <c r="D45" s="4">
        <f>Data!C45</f>
        <v>242</v>
      </c>
      <c r="E45" s="25">
        <f t="shared" si="0"/>
        <v>98.833333333333329</v>
      </c>
      <c r="F45" s="4">
        <f t="shared" si="1"/>
        <v>143.16666666666669</v>
      </c>
      <c r="G45" s="4">
        <f t="shared" si="2"/>
        <v>143.16666666666669</v>
      </c>
      <c r="H45" s="4">
        <f t="shared" si="3"/>
        <v>20496.694444444449</v>
      </c>
      <c r="I45" s="4">
        <f t="shared" si="4"/>
        <v>0.59159779614325081</v>
      </c>
      <c r="J45" s="4"/>
      <c r="K45" s="4"/>
    </row>
    <row r="46" spans="1:11" x14ac:dyDescent="0.25">
      <c r="A46" s="4"/>
      <c r="B46" s="4" t="s">
        <v>25</v>
      </c>
      <c r="C46" s="4">
        <v>45</v>
      </c>
      <c r="D46" s="4">
        <f>Data!C46</f>
        <v>209</v>
      </c>
      <c r="E46" s="25">
        <f t="shared" si="0"/>
        <v>116.5</v>
      </c>
      <c r="F46" s="4">
        <f t="shared" si="1"/>
        <v>92.5</v>
      </c>
      <c r="G46" s="4">
        <f t="shared" si="2"/>
        <v>92.5</v>
      </c>
      <c r="H46" s="4">
        <f t="shared" si="3"/>
        <v>8556.25</v>
      </c>
      <c r="I46" s="4">
        <f t="shared" si="4"/>
        <v>0.44258373205741625</v>
      </c>
      <c r="J46" s="4"/>
      <c r="K46" s="4"/>
    </row>
    <row r="47" spans="1:11" x14ac:dyDescent="0.25">
      <c r="A47" s="4"/>
      <c r="B47" s="4" t="s">
        <v>26</v>
      </c>
      <c r="C47" s="4">
        <v>46</v>
      </c>
      <c r="D47" s="4">
        <f>Data!C47</f>
        <v>106</v>
      </c>
      <c r="E47" s="25">
        <f t="shared" si="0"/>
        <v>144.33333333333334</v>
      </c>
      <c r="F47" s="4">
        <f t="shared" si="1"/>
        <v>-38.333333333333343</v>
      </c>
      <c r="G47" s="4">
        <f t="shared" si="2"/>
        <v>38.333333333333343</v>
      </c>
      <c r="H47" s="4">
        <f t="shared" si="3"/>
        <v>1469.4444444444453</v>
      </c>
      <c r="I47" s="4">
        <f t="shared" si="4"/>
        <v>0.36163522012578625</v>
      </c>
      <c r="J47" s="4"/>
      <c r="K47" s="4"/>
    </row>
    <row r="48" spans="1:11" x14ac:dyDescent="0.25">
      <c r="A48" s="4"/>
      <c r="B48" s="4" t="s">
        <v>27</v>
      </c>
      <c r="C48" s="4">
        <v>47</v>
      </c>
      <c r="D48" s="4">
        <f>Data!C48</f>
        <v>166</v>
      </c>
      <c r="E48" s="25">
        <f t="shared" si="0"/>
        <v>150.33333333333334</v>
      </c>
      <c r="F48" s="4">
        <f t="shared" si="1"/>
        <v>15.666666666666657</v>
      </c>
      <c r="G48" s="4">
        <f t="shared" si="2"/>
        <v>15.666666666666657</v>
      </c>
      <c r="H48" s="4">
        <f t="shared" si="3"/>
        <v>245.44444444444414</v>
      </c>
      <c r="I48" s="4">
        <f t="shared" si="4"/>
        <v>9.4377510040160581E-2</v>
      </c>
      <c r="J48" s="4"/>
      <c r="K48" s="4"/>
    </row>
    <row r="49" spans="1:11" x14ac:dyDescent="0.25">
      <c r="A49" s="4"/>
      <c r="B49" s="4" t="s">
        <v>28</v>
      </c>
      <c r="C49" s="4">
        <v>48</v>
      </c>
      <c r="D49" s="4">
        <f>Data!C49</f>
        <v>97</v>
      </c>
      <c r="E49" s="25">
        <f t="shared" si="0"/>
        <v>167.33333333333334</v>
      </c>
      <c r="F49" s="4">
        <f t="shared" si="1"/>
        <v>-70.333333333333343</v>
      </c>
      <c r="G49" s="4">
        <f t="shared" si="2"/>
        <v>70.333333333333343</v>
      </c>
      <c r="H49" s="4">
        <f t="shared" si="3"/>
        <v>4946.7777777777792</v>
      </c>
      <c r="I49" s="4">
        <f t="shared" si="4"/>
        <v>0.72508591065292105</v>
      </c>
      <c r="J49" s="4"/>
      <c r="K49" s="4"/>
    </row>
    <row r="50" spans="1:11" x14ac:dyDescent="0.25">
      <c r="A50" s="4" t="s">
        <v>32</v>
      </c>
      <c r="B50" s="4" t="s">
        <v>14</v>
      </c>
      <c r="C50" s="4">
        <v>49</v>
      </c>
      <c r="D50" s="4">
        <f>Data!C50</f>
        <v>96</v>
      </c>
      <c r="E50" s="25">
        <f t="shared" si="0"/>
        <v>172.5</v>
      </c>
      <c r="F50" s="4">
        <f t="shared" si="1"/>
        <v>-76.5</v>
      </c>
      <c r="G50" s="4">
        <f t="shared" si="2"/>
        <v>76.5</v>
      </c>
      <c r="H50" s="4">
        <f t="shared" si="3"/>
        <v>5852.25</v>
      </c>
      <c r="I50" s="4">
        <f t="shared" si="4"/>
        <v>0.796875</v>
      </c>
      <c r="J50" s="4"/>
      <c r="K50" s="4"/>
    </row>
    <row r="51" spans="1:11" x14ac:dyDescent="0.25">
      <c r="A51" s="4"/>
      <c r="B51" s="4" t="s">
        <v>18</v>
      </c>
      <c r="C51" s="4">
        <v>50</v>
      </c>
      <c r="D51" s="4">
        <f>Data!C51</f>
        <v>129</v>
      </c>
      <c r="E51" s="25">
        <f t="shared" si="0"/>
        <v>152.66666666666666</v>
      </c>
      <c r="F51" s="4">
        <f t="shared" si="1"/>
        <v>-23.666666666666657</v>
      </c>
      <c r="G51" s="4">
        <f t="shared" si="2"/>
        <v>23.666666666666657</v>
      </c>
      <c r="H51" s="4">
        <f t="shared" si="3"/>
        <v>560.11111111111063</v>
      </c>
      <c r="I51" s="4">
        <f t="shared" si="4"/>
        <v>0.18346253229974152</v>
      </c>
      <c r="J51" s="4"/>
      <c r="K51" s="4"/>
    </row>
    <row r="52" spans="1:11" x14ac:dyDescent="0.25">
      <c r="A52" s="4"/>
      <c r="B52" s="4" t="s">
        <v>19</v>
      </c>
      <c r="C52" s="4">
        <v>51</v>
      </c>
      <c r="D52" s="4">
        <f>Data!C52</f>
        <v>71</v>
      </c>
      <c r="E52" s="25">
        <f t="shared" si="0"/>
        <v>133.83333333333334</v>
      </c>
      <c r="F52" s="4">
        <f t="shared" si="1"/>
        <v>-62.833333333333343</v>
      </c>
      <c r="G52" s="4">
        <f t="shared" si="2"/>
        <v>62.833333333333343</v>
      </c>
      <c r="H52" s="4">
        <f t="shared" si="3"/>
        <v>3948.0277777777792</v>
      </c>
      <c r="I52" s="4">
        <f t="shared" si="4"/>
        <v>0.88497652582159636</v>
      </c>
      <c r="J52" s="4"/>
      <c r="K52" s="4"/>
    </row>
    <row r="53" spans="1:11" x14ac:dyDescent="0.25">
      <c r="A53" s="4"/>
      <c r="B53" s="4" t="s">
        <v>20</v>
      </c>
      <c r="C53" s="4">
        <v>52</v>
      </c>
      <c r="D53" s="4">
        <f>Data!C53</f>
        <v>99</v>
      </c>
      <c r="E53" s="25">
        <f t="shared" si="0"/>
        <v>110.83333333333333</v>
      </c>
      <c r="F53" s="4">
        <f t="shared" si="1"/>
        <v>-11.833333333333329</v>
      </c>
      <c r="G53" s="4">
        <f t="shared" si="2"/>
        <v>11.833333333333329</v>
      </c>
      <c r="H53" s="4">
        <f t="shared" si="3"/>
        <v>140.02777777777766</v>
      </c>
      <c r="I53" s="4">
        <f t="shared" si="4"/>
        <v>0.11952861952861948</v>
      </c>
      <c r="J53" s="4"/>
      <c r="K53" s="4"/>
    </row>
    <row r="54" spans="1:11" x14ac:dyDescent="0.25">
      <c r="A54" s="4"/>
      <c r="B54" s="4" t="s">
        <v>21</v>
      </c>
      <c r="C54" s="4">
        <v>53</v>
      </c>
      <c r="D54" s="4">
        <f>Data!C54</f>
        <v>98</v>
      </c>
      <c r="E54" s="25">
        <f t="shared" si="0"/>
        <v>109.66666666666667</v>
      </c>
      <c r="F54" s="4">
        <f t="shared" si="1"/>
        <v>-11.666666666666671</v>
      </c>
      <c r="G54" s="4">
        <f t="shared" si="2"/>
        <v>11.666666666666671</v>
      </c>
      <c r="H54" s="4">
        <f t="shared" si="3"/>
        <v>136.11111111111123</v>
      </c>
      <c r="I54" s="4">
        <f t="shared" si="4"/>
        <v>0.1190476190476191</v>
      </c>
      <c r="J54" s="4"/>
      <c r="K54" s="4"/>
    </row>
    <row r="55" spans="1:11" x14ac:dyDescent="0.25">
      <c r="A55" s="4"/>
      <c r="B55" s="4" t="s">
        <v>22</v>
      </c>
      <c r="C55" s="4">
        <v>54</v>
      </c>
      <c r="D55" s="4">
        <f>Data!C55</f>
        <v>139</v>
      </c>
      <c r="E55" s="25">
        <f t="shared" si="0"/>
        <v>98.333333333333329</v>
      </c>
      <c r="F55" s="4">
        <f t="shared" si="1"/>
        <v>40.666666666666671</v>
      </c>
      <c r="G55" s="4">
        <f t="shared" si="2"/>
        <v>40.666666666666671</v>
      </c>
      <c r="H55" s="4">
        <f t="shared" si="3"/>
        <v>1653.7777777777781</v>
      </c>
      <c r="I55" s="4">
        <f t="shared" si="4"/>
        <v>0.29256594724220625</v>
      </c>
      <c r="J55" s="4"/>
      <c r="K55" s="4"/>
    </row>
    <row r="56" spans="1:11" x14ac:dyDescent="0.25">
      <c r="A56" s="4"/>
      <c r="B56" s="4" t="s">
        <v>23</v>
      </c>
      <c r="C56" s="4">
        <v>55</v>
      </c>
      <c r="D56" s="4">
        <f>Data!C56</f>
        <v>90</v>
      </c>
      <c r="E56" s="25">
        <f t="shared" si="0"/>
        <v>105.33333333333333</v>
      </c>
      <c r="F56" s="4">
        <f t="shared" si="1"/>
        <v>-15.333333333333329</v>
      </c>
      <c r="G56" s="4">
        <f t="shared" si="2"/>
        <v>15.333333333333329</v>
      </c>
      <c r="H56" s="4">
        <f t="shared" si="3"/>
        <v>235.11111111111097</v>
      </c>
      <c r="I56" s="4">
        <f t="shared" si="4"/>
        <v>0.17037037037037031</v>
      </c>
      <c r="J56" s="4"/>
      <c r="K56" s="4"/>
    </row>
    <row r="57" spans="1:11" x14ac:dyDescent="0.25">
      <c r="A57" s="4"/>
      <c r="B57" s="4" t="s">
        <v>24</v>
      </c>
      <c r="C57" s="4">
        <v>56</v>
      </c>
      <c r="D57" s="4">
        <f>Data!C57</f>
        <v>219</v>
      </c>
      <c r="E57" s="25">
        <f t="shared" si="0"/>
        <v>104.33333333333333</v>
      </c>
      <c r="F57" s="4">
        <f t="shared" si="1"/>
        <v>114.66666666666667</v>
      </c>
      <c r="G57" s="4">
        <f t="shared" si="2"/>
        <v>114.66666666666667</v>
      </c>
      <c r="H57" s="4">
        <f t="shared" si="3"/>
        <v>13148.444444444445</v>
      </c>
      <c r="I57" s="4">
        <f t="shared" si="4"/>
        <v>0.52359208523592082</v>
      </c>
      <c r="J57" s="4"/>
      <c r="K57" s="4"/>
    </row>
    <row r="58" spans="1:11" x14ac:dyDescent="0.25">
      <c r="A58" s="4"/>
      <c r="B58" s="4" t="s">
        <v>25</v>
      </c>
      <c r="C58" s="4">
        <v>57</v>
      </c>
      <c r="D58" s="4">
        <f>Data!C58</f>
        <v>206</v>
      </c>
      <c r="E58" s="25">
        <f t="shared" si="0"/>
        <v>119.33333333333333</v>
      </c>
      <c r="F58" s="4">
        <f t="shared" si="1"/>
        <v>86.666666666666671</v>
      </c>
      <c r="G58" s="4">
        <f t="shared" si="2"/>
        <v>86.666666666666671</v>
      </c>
      <c r="H58" s="4">
        <f t="shared" si="3"/>
        <v>7511.1111111111122</v>
      </c>
      <c r="I58" s="4">
        <f t="shared" si="4"/>
        <v>0.42071197411003236</v>
      </c>
      <c r="J58" s="4"/>
      <c r="K58" s="4"/>
    </row>
    <row r="59" spans="1:11" x14ac:dyDescent="0.25">
      <c r="A59" s="4"/>
      <c r="B59" s="4" t="s">
        <v>26</v>
      </c>
      <c r="C59" s="4">
        <v>58</v>
      </c>
      <c r="D59" s="4">
        <f>Data!C59</f>
        <v>186</v>
      </c>
      <c r="E59" s="25">
        <f t="shared" si="0"/>
        <v>141.83333333333334</v>
      </c>
      <c r="F59" s="4">
        <f t="shared" si="1"/>
        <v>44.166666666666657</v>
      </c>
      <c r="G59" s="4">
        <f t="shared" si="2"/>
        <v>44.166666666666657</v>
      </c>
      <c r="H59" s="4">
        <f t="shared" si="3"/>
        <v>1950.6944444444437</v>
      </c>
      <c r="I59" s="4">
        <f t="shared" si="4"/>
        <v>0.23745519713261642</v>
      </c>
      <c r="J59" s="4"/>
      <c r="K59" s="4"/>
    </row>
    <row r="60" spans="1:11" x14ac:dyDescent="0.25">
      <c r="A60" s="4"/>
      <c r="B60" s="4" t="s">
        <v>27</v>
      </c>
      <c r="C60" s="4">
        <v>59</v>
      </c>
      <c r="D60" s="4">
        <f>Data!C60</f>
        <v>140</v>
      </c>
      <c r="E60" s="25">
        <f t="shared" si="0"/>
        <v>156.33333333333334</v>
      </c>
      <c r="F60" s="4">
        <f t="shared" si="1"/>
        <v>-16.333333333333343</v>
      </c>
      <c r="G60" s="4">
        <f t="shared" si="2"/>
        <v>16.333333333333343</v>
      </c>
      <c r="H60" s="4">
        <f t="shared" si="3"/>
        <v>266.77777777777811</v>
      </c>
      <c r="I60" s="4">
        <f t="shared" si="4"/>
        <v>0.11666666666666674</v>
      </c>
      <c r="J60" s="4"/>
      <c r="K60" s="4"/>
    </row>
    <row r="61" spans="1:11" x14ac:dyDescent="0.25">
      <c r="A61" s="4"/>
      <c r="B61" s="4" t="s">
        <v>28</v>
      </c>
      <c r="C61" s="4">
        <v>60</v>
      </c>
      <c r="D61" s="4">
        <f>Data!C61</f>
        <v>61</v>
      </c>
      <c r="E61" s="25">
        <f t="shared" si="0"/>
        <v>163.33333333333334</v>
      </c>
      <c r="F61" s="4">
        <f t="shared" si="1"/>
        <v>-102.33333333333334</v>
      </c>
      <c r="G61" s="4">
        <f t="shared" si="2"/>
        <v>102.33333333333334</v>
      </c>
      <c r="H61" s="4">
        <f t="shared" si="3"/>
        <v>10472.111111111113</v>
      </c>
      <c r="I61" s="4">
        <f t="shared" si="4"/>
        <v>1.6775956284153006</v>
      </c>
      <c r="J61" s="4"/>
      <c r="K61" s="4"/>
    </row>
  </sheetData>
  <sheetProtection algorithmName="SHA-512" hashValue="5XCU5mzs56SST2NuAKr+nwYlVfFmd5gQ7uKzmGqvLMdZ3LB9J6aNtN1uM4bRycvnWX1dst18Wum7tAKKbQv34g==" saltValue="QN8EPWNhKiUanUWvtnyjZA==" spinCount="100000" sheet="1" objects="1" scenarios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AA1F5-2F4D-42DE-9046-086B36BD3854}">
  <sheetPr codeName="Sheet6"/>
  <dimension ref="A1:I70"/>
  <sheetViews>
    <sheetView workbookViewId="0"/>
  </sheetViews>
  <sheetFormatPr defaultRowHeight="15" x14ac:dyDescent="0.25"/>
  <cols>
    <col min="1" max="4" width="16.42578125" customWidth="1"/>
    <col min="5" max="5" width="12" style="3" bestFit="1" customWidth="1"/>
    <col min="6" max="6" width="12.7109375" style="3" bestFit="1" customWidth="1"/>
    <col min="7" max="7" width="18.28515625" style="3" bestFit="1" customWidth="1"/>
    <col min="8" max="8" width="13.140625" style="3" bestFit="1" customWidth="1"/>
    <col min="9" max="9" width="29" style="3" bestFit="1" customWidth="1"/>
  </cols>
  <sheetData>
    <row r="1" spans="1:9" x14ac:dyDescent="0.25">
      <c r="A1" s="4"/>
      <c r="B1" s="4" t="s">
        <v>0</v>
      </c>
      <c r="C1" s="4" t="s">
        <v>2</v>
      </c>
      <c r="D1" s="6" t="s">
        <v>13</v>
      </c>
      <c r="E1" s="5" t="s">
        <v>33</v>
      </c>
      <c r="F1" s="5" t="s">
        <v>34</v>
      </c>
      <c r="G1" s="5" t="s">
        <v>35</v>
      </c>
      <c r="H1" s="5" t="s">
        <v>36</v>
      </c>
      <c r="I1" s="5" t="s">
        <v>37</v>
      </c>
    </row>
    <row r="2" spans="1:9" x14ac:dyDescent="0.25">
      <c r="A2" s="4" t="s">
        <v>13</v>
      </c>
      <c r="B2" s="4" t="s">
        <v>14</v>
      </c>
      <c r="C2" s="4">
        <v>1</v>
      </c>
      <c r="D2" s="6">
        <f>Data!C2</f>
        <v>40</v>
      </c>
      <c r="E2" s="23">
        <v>40</v>
      </c>
      <c r="F2" s="5">
        <v>0</v>
      </c>
      <c r="G2" s="5">
        <v>0</v>
      </c>
      <c r="H2" s="5">
        <v>0</v>
      </c>
      <c r="I2" s="5">
        <v>0</v>
      </c>
    </row>
    <row r="3" spans="1:9" x14ac:dyDescent="0.25">
      <c r="A3" s="4"/>
      <c r="B3" s="4" t="s">
        <v>18</v>
      </c>
      <c r="C3" s="4">
        <v>2</v>
      </c>
      <c r="D3" s="6">
        <f>Data!C3</f>
        <v>214</v>
      </c>
      <c r="E3" s="23">
        <v>40</v>
      </c>
      <c r="F3" s="5">
        <v>174</v>
      </c>
      <c r="G3" s="5">
        <v>174</v>
      </c>
      <c r="H3" s="5">
        <v>30276</v>
      </c>
      <c r="I3" s="5">
        <v>0.81308411214953269</v>
      </c>
    </row>
    <row r="4" spans="1:9" x14ac:dyDescent="0.25">
      <c r="A4" s="4"/>
      <c r="B4" s="4" t="s">
        <v>19</v>
      </c>
      <c r="C4" s="4">
        <v>3</v>
      </c>
      <c r="D4" s="6">
        <f>Data!C4</f>
        <v>60</v>
      </c>
      <c r="E4" s="23">
        <v>74.800000000000011</v>
      </c>
      <c r="F4" s="5">
        <v>-14.800000000000011</v>
      </c>
      <c r="G4" s="5">
        <v>14.800000000000011</v>
      </c>
      <c r="H4" s="5">
        <v>219.04000000000033</v>
      </c>
      <c r="I4" s="5">
        <v>0.24666666666666687</v>
      </c>
    </row>
    <row r="5" spans="1:9" x14ac:dyDescent="0.25">
      <c r="A5" s="4"/>
      <c r="B5" s="4" t="s">
        <v>20</v>
      </c>
      <c r="C5" s="4">
        <v>4</v>
      </c>
      <c r="D5" s="6">
        <f>Data!C5</f>
        <v>138</v>
      </c>
      <c r="E5" s="23">
        <v>71.84</v>
      </c>
      <c r="F5" s="5">
        <v>66.16</v>
      </c>
      <c r="G5" s="5">
        <v>66.16</v>
      </c>
      <c r="H5" s="5">
        <v>4377.1455999999998</v>
      </c>
      <c r="I5" s="5">
        <v>0.47942028985507246</v>
      </c>
    </row>
    <row r="6" spans="1:9" x14ac:dyDescent="0.25">
      <c r="A6" s="4"/>
      <c r="B6" s="4" t="s">
        <v>21</v>
      </c>
      <c r="C6" s="4">
        <v>5</v>
      </c>
      <c r="D6" s="6">
        <f>Data!C6</f>
        <v>65</v>
      </c>
      <c r="E6" s="23">
        <v>85.072000000000003</v>
      </c>
      <c r="F6" s="5">
        <v>-20.072000000000003</v>
      </c>
      <c r="G6" s="5">
        <v>20.072000000000003</v>
      </c>
      <c r="H6" s="5">
        <v>402.88518400000009</v>
      </c>
      <c r="I6" s="5">
        <v>0.30880000000000002</v>
      </c>
    </row>
    <row r="7" spans="1:9" x14ac:dyDescent="0.25">
      <c r="A7" s="4"/>
      <c r="B7" s="4" t="s">
        <v>22</v>
      </c>
      <c r="C7" s="4">
        <v>6</v>
      </c>
      <c r="D7" s="6">
        <f>Data!C7</f>
        <v>36</v>
      </c>
      <c r="E7" s="23">
        <v>81.057600000000008</v>
      </c>
      <c r="F7" s="5">
        <v>-45.057600000000008</v>
      </c>
      <c r="G7" s="5">
        <v>45.057600000000008</v>
      </c>
      <c r="H7" s="5">
        <v>2030.1873177600007</v>
      </c>
      <c r="I7" s="5">
        <v>1.2516000000000003</v>
      </c>
    </row>
    <row r="8" spans="1:9" x14ac:dyDescent="0.25">
      <c r="A8" s="4"/>
      <c r="B8" s="4" t="s">
        <v>23</v>
      </c>
      <c r="C8" s="4">
        <v>7</v>
      </c>
      <c r="D8" s="6">
        <f>Data!C8</f>
        <v>267</v>
      </c>
      <c r="E8" s="23">
        <v>72.046080000000018</v>
      </c>
      <c r="F8" s="5">
        <v>194.95391999999998</v>
      </c>
      <c r="G8" s="5">
        <v>194.95391999999998</v>
      </c>
      <c r="H8" s="5">
        <v>38007.030923366394</v>
      </c>
      <c r="I8" s="5">
        <v>0.73016449438202236</v>
      </c>
    </row>
    <row r="9" spans="1:9" x14ac:dyDescent="0.25">
      <c r="A9" s="4"/>
      <c r="B9" s="4" t="s">
        <v>24</v>
      </c>
      <c r="C9" s="4">
        <v>8</v>
      </c>
      <c r="D9" s="6">
        <f>Data!C9</f>
        <v>103</v>
      </c>
      <c r="E9" s="23">
        <v>111.03686400000002</v>
      </c>
      <c r="F9" s="5">
        <v>-8.0368640000000227</v>
      </c>
      <c r="G9" s="5">
        <v>8.0368640000000227</v>
      </c>
      <c r="H9" s="5">
        <v>64.591182954496361</v>
      </c>
      <c r="I9" s="5">
        <v>7.8027805825242935E-2</v>
      </c>
    </row>
    <row r="10" spans="1:9" x14ac:dyDescent="0.25">
      <c r="A10" s="4"/>
      <c r="B10" s="4" t="s">
        <v>25</v>
      </c>
      <c r="C10" s="4">
        <v>9</v>
      </c>
      <c r="D10" s="6">
        <f>Data!C10</f>
        <v>164</v>
      </c>
      <c r="E10" s="23">
        <v>109.42949120000003</v>
      </c>
      <c r="F10" s="5">
        <v>54.570508799999971</v>
      </c>
      <c r="G10" s="5">
        <v>54.570508799999971</v>
      </c>
      <c r="H10" s="5">
        <v>2977.9404306908741</v>
      </c>
      <c r="I10" s="5">
        <v>0.33274700487804859</v>
      </c>
    </row>
    <row r="11" spans="1:9" x14ac:dyDescent="0.25">
      <c r="A11" s="4"/>
      <c r="B11" s="4" t="s">
        <v>26</v>
      </c>
      <c r="C11" s="4">
        <v>10</v>
      </c>
      <c r="D11" s="6">
        <f>Data!C11</f>
        <v>232</v>
      </c>
      <c r="E11" s="23">
        <v>120.34359296000002</v>
      </c>
      <c r="F11" s="5">
        <v>111.65640703999998</v>
      </c>
      <c r="G11" s="5">
        <v>111.65640703999998</v>
      </c>
      <c r="H11" s="5">
        <v>12467.153233082156</v>
      </c>
      <c r="I11" s="5">
        <v>0.48127761655172402</v>
      </c>
    </row>
    <row r="12" spans="1:9" x14ac:dyDescent="0.25">
      <c r="A12" s="4"/>
      <c r="B12" s="4" t="s">
        <v>27</v>
      </c>
      <c r="C12" s="4">
        <v>11</v>
      </c>
      <c r="D12" s="6">
        <f>Data!C12</f>
        <v>140</v>
      </c>
      <c r="E12" s="23">
        <v>142.67487436800002</v>
      </c>
      <c r="F12" s="5">
        <v>-2.6748743680000189</v>
      </c>
      <c r="G12" s="5">
        <v>2.6748743680000189</v>
      </c>
      <c r="H12" s="5">
        <v>7.1549528845835004</v>
      </c>
      <c r="I12" s="5">
        <v>1.9106245485714421E-2</v>
      </c>
    </row>
    <row r="13" spans="1:9" x14ac:dyDescent="0.25">
      <c r="A13" s="4"/>
      <c r="B13" s="4" t="s">
        <v>28</v>
      </c>
      <c r="C13" s="4">
        <v>12</v>
      </c>
      <c r="D13" s="6">
        <f>Data!C13</f>
        <v>132</v>
      </c>
      <c r="E13" s="23">
        <v>142.13989949440003</v>
      </c>
      <c r="F13" s="5">
        <v>-10.139899494400026</v>
      </c>
      <c r="G13" s="5">
        <v>10.139899494400026</v>
      </c>
      <c r="H13" s="5">
        <v>102.81756175653392</v>
      </c>
      <c r="I13" s="5">
        <v>7.6817420412121418E-2</v>
      </c>
    </row>
    <row r="14" spans="1:9" x14ac:dyDescent="0.25">
      <c r="A14" s="4" t="s">
        <v>29</v>
      </c>
      <c r="B14" s="4" t="s">
        <v>14</v>
      </c>
      <c r="C14" s="4">
        <v>13</v>
      </c>
      <c r="D14" s="6">
        <f>Data!C14</f>
        <v>59</v>
      </c>
      <c r="E14" s="23">
        <v>140.11191959552002</v>
      </c>
      <c r="F14" s="5">
        <v>-81.111919595520021</v>
      </c>
      <c r="G14" s="5">
        <v>81.111919595520021</v>
      </c>
      <c r="H14" s="5">
        <v>6579.1435004701052</v>
      </c>
      <c r="I14" s="5">
        <v>1.374778298229153</v>
      </c>
    </row>
    <row r="15" spans="1:9" x14ac:dyDescent="0.25">
      <c r="A15" s="4"/>
      <c r="B15" s="4" t="s">
        <v>18</v>
      </c>
      <c r="C15" s="4">
        <v>14</v>
      </c>
      <c r="D15" s="6">
        <f>Data!C15</f>
        <v>228</v>
      </c>
      <c r="E15" s="23">
        <v>123.88953567641602</v>
      </c>
      <c r="F15" s="5">
        <v>104.11046432358398</v>
      </c>
      <c r="G15" s="5">
        <v>104.11046432358398</v>
      </c>
      <c r="H15" s="5">
        <v>10838.988781672253</v>
      </c>
      <c r="I15" s="5">
        <v>0.45662484352449118</v>
      </c>
    </row>
    <row r="16" spans="1:9" x14ac:dyDescent="0.25">
      <c r="A16" s="4"/>
      <c r="B16" s="4" t="s">
        <v>19</v>
      </c>
      <c r="C16" s="4">
        <v>15</v>
      </c>
      <c r="D16" s="6">
        <f>Data!C16</f>
        <v>51</v>
      </c>
      <c r="E16" s="23">
        <v>144.71162854113282</v>
      </c>
      <c r="F16" s="5">
        <v>-93.711628541132825</v>
      </c>
      <c r="G16" s="5">
        <v>93.711628541132825</v>
      </c>
      <c r="H16" s="5">
        <v>8781.8693238312608</v>
      </c>
      <c r="I16" s="5">
        <v>1.8374829125712318</v>
      </c>
    </row>
    <row r="17" spans="1:9" x14ac:dyDescent="0.25">
      <c r="A17" s="4"/>
      <c r="B17" s="4" t="s">
        <v>20</v>
      </c>
      <c r="C17" s="4">
        <v>16</v>
      </c>
      <c r="D17" s="6">
        <f>Data!C17</f>
        <v>123</v>
      </c>
      <c r="E17" s="23">
        <v>125.96930283290627</v>
      </c>
      <c r="F17" s="5">
        <v>-2.9693028329062656</v>
      </c>
      <c r="G17" s="5">
        <v>2.9693028329062656</v>
      </c>
      <c r="H17" s="5">
        <v>8.8167593135051749</v>
      </c>
      <c r="I17" s="5">
        <v>2.4140673438262324E-2</v>
      </c>
    </row>
    <row r="18" spans="1:9" x14ac:dyDescent="0.25">
      <c r="A18" s="4"/>
      <c r="B18" s="4" t="s">
        <v>21</v>
      </c>
      <c r="C18" s="4">
        <v>17</v>
      </c>
      <c r="D18" s="6">
        <f>Data!C18</f>
        <v>98</v>
      </c>
      <c r="E18" s="23">
        <v>125.37544226632502</v>
      </c>
      <c r="F18" s="5">
        <v>-27.375442266325024</v>
      </c>
      <c r="G18" s="5">
        <v>27.375442266325024</v>
      </c>
      <c r="H18" s="5">
        <v>749.41483927689455</v>
      </c>
      <c r="I18" s="5">
        <v>0.27934124761556145</v>
      </c>
    </row>
    <row r="19" spans="1:9" x14ac:dyDescent="0.25">
      <c r="A19" s="4"/>
      <c r="B19" s="4" t="s">
        <v>22</v>
      </c>
      <c r="C19" s="4">
        <v>18</v>
      </c>
      <c r="D19" s="6">
        <f>Data!C19</f>
        <v>124</v>
      </c>
      <c r="E19" s="23">
        <v>119.90035381306004</v>
      </c>
      <c r="F19" s="5">
        <v>4.0996461869399639</v>
      </c>
      <c r="G19" s="5">
        <v>4.0996461869399639</v>
      </c>
      <c r="H19" s="5">
        <v>16.807098858091386</v>
      </c>
      <c r="I19" s="5">
        <v>3.3061662797902937E-2</v>
      </c>
    </row>
    <row r="20" spans="1:9" x14ac:dyDescent="0.25">
      <c r="A20" s="4"/>
      <c r="B20" s="4" t="s">
        <v>23</v>
      </c>
      <c r="C20" s="4">
        <v>19</v>
      </c>
      <c r="D20" s="6">
        <f>Data!C20</f>
        <v>163</v>
      </c>
      <c r="E20" s="23">
        <v>120.72028305044803</v>
      </c>
      <c r="F20" s="5">
        <v>42.279716949551968</v>
      </c>
      <c r="G20" s="5">
        <v>42.279716949551968</v>
      </c>
      <c r="H20" s="5">
        <v>1787.5744653342319</v>
      </c>
      <c r="I20" s="5">
        <v>0.25938476656166853</v>
      </c>
    </row>
    <row r="21" spans="1:9" x14ac:dyDescent="0.25">
      <c r="A21" s="4"/>
      <c r="B21" s="4" t="s">
        <v>24</v>
      </c>
      <c r="C21" s="4">
        <v>20</v>
      </c>
      <c r="D21" s="6">
        <f>Data!C21</f>
        <v>357</v>
      </c>
      <c r="E21" s="23">
        <v>129.17622644035842</v>
      </c>
      <c r="F21" s="5">
        <v>227.82377355964158</v>
      </c>
      <c r="G21" s="5">
        <v>227.82377355964158</v>
      </c>
      <c r="H21" s="5">
        <v>51903.671798954842</v>
      </c>
      <c r="I21" s="5">
        <v>0.63816183069927612</v>
      </c>
    </row>
    <row r="22" spans="1:9" x14ac:dyDescent="0.25">
      <c r="A22" s="4"/>
      <c r="B22" s="4" t="s">
        <v>25</v>
      </c>
      <c r="C22" s="4">
        <v>21</v>
      </c>
      <c r="D22" s="6">
        <f>Data!C22</f>
        <v>133</v>
      </c>
      <c r="E22" s="23">
        <v>174.74098115228674</v>
      </c>
      <c r="F22" s="5">
        <v>-41.740981152286736</v>
      </c>
      <c r="G22" s="5">
        <v>41.740981152286736</v>
      </c>
      <c r="H22" s="5">
        <v>1742.3095075555566</v>
      </c>
      <c r="I22" s="5">
        <v>0.31384196355102811</v>
      </c>
    </row>
    <row r="23" spans="1:9" x14ac:dyDescent="0.25">
      <c r="A23" s="4"/>
      <c r="B23" s="4" t="s">
        <v>26</v>
      </c>
      <c r="C23" s="4">
        <v>22</v>
      </c>
      <c r="D23" s="6">
        <f>Data!C23</f>
        <v>161</v>
      </c>
      <c r="E23" s="23">
        <v>166.39278492182939</v>
      </c>
      <c r="F23" s="5">
        <v>-5.3927849218293886</v>
      </c>
      <c r="G23" s="5">
        <v>5.3927849218293886</v>
      </c>
      <c r="H23" s="5">
        <v>29.082129213110406</v>
      </c>
      <c r="I23" s="5">
        <v>3.3495558520679432E-2</v>
      </c>
    </row>
    <row r="24" spans="1:9" x14ac:dyDescent="0.25">
      <c r="A24" s="4"/>
      <c r="B24" s="4" t="s">
        <v>27</v>
      </c>
      <c r="C24" s="4">
        <v>23</v>
      </c>
      <c r="D24" s="6">
        <f>Data!C24</f>
        <v>157</v>
      </c>
      <c r="E24" s="23">
        <v>165.3142279374635</v>
      </c>
      <c r="F24" s="5">
        <v>-8.3142279374634995</v>
      </c>
      <c r="G24" s="5">
        <v>8.3142279374634995</v>
      </c>
      <c r="H24" s="5">
        <v>69.126386196098551</v>
      </c>
      <c r="I24" s="5">
        <v>5.2956865843716561E-2</v>
      </c>
    </row>
    <row r="25" spans="1:9" x14ac:dyDescent="0.25">
      <c r="A25" s="4"/>
      <c r="B25" s="4" t="s">
        <v>28</v>
      </c>
      <c r="C25" s="4">
        <v>24</v>
      </c>
      <c r="D25" s="6">
        <f>Data!C25</f>
        <v>51</v>
      </c>
      <c r="E25" s="23">
        <v>163.65138234997082</v>
      </c>
      <c r="F25" s="5">
        <v>-112.65138234997082</v>
      </c>
      <c r="G25" s="5">
        <v>112.65138234997082</v>
      </c>
      <c r="H25" s="5">
        <v>12690.333945359316</v>
      </c>
      <c r="I25" s="5">
        <v>2.2088506343131531</v>
      </c>
    </row>
    <row r="26" spans="1:9" x14ac:dyDescent="0.25">
      <c r="A26" s="4" t="s">
        <v>30</v>
      </c>
      <c r="B26" s="4" t="s">
        <v>14</v>
      </c>
      <c r="C26" s="4">
        <v>25</v>
      </c>
      <c r="D26" s="6">
        <f>Data!C26</f>
        <v>140</v>
      </c>
      <c r="E26" s="23">
        <v>141.12110587997665</v>
      </c>
      <c r="F26" s="5">
        <v>-1.1211058799766533</v>
      </c>
      <c r="G26" s="5">
        <v>1.1211058799766533</v>
      </c>
      <c r="H26" s="5">
        <v>1.2568783941182262</v>
      </c>
      <c r="I26" s="5">
        <v>8.007899142690381E-3</v>
      </c>
    </row>
    <row r="27" spans="1:9" x14ac:dyDescent="0.25">
      <c r="A27" s="4"/>
      <c r="B27" s="4" t="s">
        <v>18</v>
      </c>
      <c r="C27" s="4">
        <v>26</v>
      </c>
      <c r="D27" s="6">
        <f>Data!C27</f>
        <v>105</v>
      </c>
      <c r="E27" s="23">
        <v>140.89688470398133</v>
      </c>
      <c r="F27" s="5">
        <v>-35.896884703981328</v>
      </c>
      <c r="G27" s="5">
        <v>35.896884703981328</v>
      </c>
      <c r="H27" s="5">
        <v>1288.5863314509286</v>
      </c>
      <c r="I27" s="5">
        <v>0.34187509241886982</v>
      </c>
    </row>
    <row r="28" spans="1:9" x14ac:dyDescent="0.25">
      <c r="A28" s="4"/>
      <c r="B28" s="4" t="s">
        <v>19</v>
      </c>
      <c r="C28" s="4">
        <v>27</v>
      </c>
      <c r="D28" s="6">
        <f>Data!C28</f>
        <v>147</v>
      </c>
      <c r="E28" s="23">
        <v>133.71750776318507</v>
      </c>
      <c r="F28" s="5">
        <v>13.282492236814932</v>
      </c>
      <c r="G28" s="5">
        <v>13.282492236814932</v>
      </c>
      <c r="H28" s="5">
        <v>176.42460002104892</v>
      </c>
      <c r="I28" s="5">
        <v>9.0357090046360083E-2</v>
      </c>
    </row>
    <row r="29" spans="1:9" x14ac:dyDescent="0.25">
      <c r="A29" s="4"/>
      <c r="B29" s="4" t="s">
        <v>20</v>
      </c>
      <c r="C29" s="4">
        <v>28</v>
      </c>
      <c r="D29" s="6">
        <f>Data!C29</f>
        <v>88</v>
      </c>
      <c r="E29" s="23">
        <v>136.37400621054806</v>
      </c>
      <c r="F29" s="5">
        <v>-48.37400621054806</v>
      </c>
      <c r="G29" s="5">
        <v>48.37400621054806</v>
      </c>
      <c r="H29" s="5">
        <v>2340.0444768581424</v>
      </c>
      <c r="I29" s="5">
        <v>0.54970461602895526</v>
      </c>
    </row>
    <row r="30" spans="1:9" x14ac:dyDescent="0.25">
      <c r="A30" s="4"/>
      <c r="B30" s="4" t="s">
        <v>21</v>
      </c>
      <c r="C30" s="4">
        <v>29</v>
      </c>
      <c r="D30" s="6">
        <f>Data!C30</f>
        <v>83</v>
      </c>
      <c r="E30" s="23">
        <v>126.69920496843847</v>
      </c>
      <c r="F30" s="5">
        <v>-43.699204968438465</v>
      </c>
      <c r="G30" s="5">
        <v>43.699204968438465</v>
      </c>
      <c r="H30" s="5">
        <v>1909.6205148735971</v>
      </c>
      <c r="I30" s="5">
        <v>0.5264964454028731</v>
      </c>
    </row>
    <row r="31" spans="1:9" x14ac:dyDescent="0.25">
      <c r="A31" s="4"/>
      <c r="B31" s="4" t="s">
        <v>22</v>
      </c>
      <c r="C31" s="4">
        <v>30</v>
      </c>
      <c r="D31" s="6">
        <f>Data!C31</f>
        <v>77</v>
      </c>
      <c r="E31" s="23">
        <v>117.95936397475077</v>
      </c>
      <c r="F31" s="5">
        <v>-40.959363974750772</v>
      </c>
      <c r="G31" s="5">
        <v>40.959363974750772</v>
      </c>
      <c r="H31" s="5">
        <v>1677.6694972161115</v>
      </c>
      <c r="I31" s="5">
        <v>0.53193979187988016</v>
      </c>
    </row>
    <row r="32" spans="1:9" x14ac:dyDescent="0.25">
      <c r="A32" s="4"/>
      <c r="B32" s="4" t="s">
        <v>23</v>
      </c>
      <c r="C32" s="4">
        <v>31</v>
      </c>
      <c r="D32" s="6">
        <f>Data!C32</f>
        <v>89</v>
      </c>
      <c r="E32" s="23">
        <v>109.76749117980063</v>
      </c>
      <c r="F32" s="5">
        <v>-20.767491179800629</v>
      </c>
      <c r="G32" s="5">
        <v>20.767491179800629</v>
      </c>
      <c r="H32" s="5">
        <v>431.28868990309695</v>
      </c>
      <c r="I32" s="5">
        <v>0.23334259752584977</v>
      </c>
    </row>
    <row r="33" spans="1:9" x14ac:dyDescent="0.25">
      <c r="A33" s="4"/>
      <c r="B33" s="4" t="s">
        <v>24</v>
      </c>
      <c r="C33" s="4">
        <v>32</v>
      </c>
      <c r="D33" s="6">
        <f>Data!C33</f>
        <v>154</v>
      </c>
      <c r="E33" s="23">
        <v>105.6139929438405</v>
      </c>
      <c r="F33" s="5">
        <v>48.386007056159499</v>
      </c>
      <c r="G33" s="5">
        <v>48.386007056159499</v>
      </c>
      <c r="H33" s="5">
        <v>2341.2056788387167</v>
      </c>
      <c r="I33" s="5">
        <v>0.31419485101402272</v>
      </c>
    </row>
    <row r="34" spans="1:9" x14ac:dyDescent="0.25">
      <c r="A34" s="4"/>
      <c r="B34" s="4" t="s">
        <v>25</v>
      </c>
      <c r="C34" s="4">
        <v>33</v>
      </c>
      <c r="D34" s="6">
        <f>Data!C34</f>
        <v>140</v>
      </c>
      <c r="E34" s="23">
        <v>115.29119435507241</v>
      </c>
      <c r="F34" s="5">
        <v>24.708805644927594</v>
      </c>
      <c r="G34" s="5">
        <v>24.708805644927594</v>
      </c>
      <c r="H34" s="5">
        <v>610.52507639880571</v>
      </c>
      <c r="I34" s="5">
        <v>0.17649146889233996</v>
      </c>
    </row>
    <row r="35" spans="1:9" x14ac:dyDescent="0.25">
      <c r="A35" s="4"/>
      <c r="B35" s="4" t="s">
        <v>26</v>
      </c>
      <c r="C35" s="4">
        <v>34</v>
      </c>
      <c r="D35" s="6">
        <f>Data!C35</f>
        <v>148</v>
      </c>
      <c r="E35" s="23">
        <v>120.23295548405792</v>
      </c>
      <c r="F35" s="5">
        <v>27.767044515942075</v>
      </c>
      <c r="G35" s="5">
        <v>27.767044515942075</v>
      </c>
      <c r="H35" s="5">
        <v>771.00876115030883</v>
      </c>
      <c r="I35" s="5">
        <v>0.18761516564825725</v>
      </c>
    </row>
    <row r="36" spans="1:9" x14ac:dyDescent="0.25">
      <c r="A36" s="4"/>
      <c r="B36" s="4" t="s">
        <v>27</v>
      </c>
      <c r="C36" s="4">
        <v>35</v>
      </c>
      <c r="D36" s="6">
        <f>Data!C36</f>
        <v>125</v>
      </c>
      <c r="E36" s="23">
        <v>125.78636438724635</v>
      </c>
      <c r="F36" s="5">
        <v>-0.78636438724635127</v>
      </c>
      <c r="G36" s="5">
        <v>0.78636438724635127</v>
      </c>
      <c r="H36" s="5">
        <v>0.61836894952932953</v>
      </c>
      <c r="I36" s="5">
        <v>6.2909150979708105E-3</v>
      </c>
    </row>
    <row r="37" spans="1:9" x14ac:dyDescent="0.25">
      <c r="A37" s="4"/>
      <c r="B37" s="4" t="s">
        <v>28</v>
      </c>
      <c r="C37" s="4">
        <v>36</v>
      </c>
      <c r="D37" s="6">
        <f>Data!C37</f>
        <v>83</v>
      </c>
      <c r="E37" s="23">
        <v>125.62909150979709</v>
      </c>
      <c r="F37" s="5">
        <v>-42.629091509797092</v>
      </c>
      <c r="G37" s="5">
        <v>42.629091509797092</v>
      </c>
      <c r="H37" s="5">
        <v>1817.2394429506546</v>
      </c>
      <c r="I37" s="5">
        <v>0.51360351216623001</v>
      </c>
    </row>
    <row r="38" spans="1:9" x14ac:dyDescent="0.25">
      <c r="A38" s="4" t="s">
        <v>31</v>
      </c>
      <c r="B38" s="4" t="s">
        <v>14</v>
      </c>
      <c r="C38" s="4">
        <v>37</v>
      </c>
      <c r="D38" s="6">
        <f>Data!C38</f>
        <v>238</v>
      </c>
      <c r="E38" s="23">
        <v>117.10327320783767</v>
      </c>
      <c r="F38" s="5">
        <v>120.89672679216233</v>
      </c>
      <c r="G38" s="5">
        <v>120.89672679216233</v>
      </c>
      <c r="H38" s="5">
        <v>14616.018549058739</v>
      </c>
      <c r="I38" s="5">
        <v>0.50796944030320301</v>
      </c>
    </row>
    <row r="39" spans="1:9" x14ac:dyDescent="0.25">
      <c r="A39" s="4"/>
      <c r="B39" s="4" t="s">
        <v>18</v>
      </c>
      <c r="C39" s="4">
        <v>38</v>
      </c>
      <c r="D39" s="6">
        <f>Data!C39</f>
        <v>136</v>
      </c>
      <c r="E39" s="23">
        <v>141.28261856627014</v>
      </c>
      <c r="F39" s="5">
        <v>-5.2826185662701448</v>
      </c>
      <c r="G39" s="5">
        <v>5.2826185662701448</v>
      </c>
      <c r="H39" s="5">
        <v>27.90605891670204</v>
      </c>
      <c r="I39" s="5">
        <v>3.8842783575515773E-2</v>
      </c>
    </row>
    <row r="40" spans="1:9" x14ac:dyDescent="0.25">
      <c r="A40" s="4"/>
      <c r="B40" s="4" t="s">
        <v>19</v>
      </c>
      <c r="C40" s="4">
        <v>39</v>
      </c>
      <c r="D40" s="6">
        <f>Data!C40</f>
        <v>42</v>
      </c>
      <c r="E40" s="23">
        <v>140.22609485301612</v>
      </c>
      <c r="F40" s="5">
        <v>-98.226094853016122</v>
      </c>
      <c r="G40" s="5">
        <v>98.226094853016122</v>
      </c>
      <c r="H40" s="5">
        <v>9648.36571007372</v>
      </c>
      <c r="I40" s="5">
        <v>2.3387165441194315</v>
      </c>
    </row>
    <row r="41" spans="1:9" x14ac:dyDescent="0.25">
      <c r="A41" s="4"/>
      <c r="B41" s="4" t="s">
        <v>20</v>
      </c>
      <c r="C41" s="4">
        <v>40</v>
      </c>
      <c r="D41" s="6">
        <f>Data!C41</f>
        <v>70</v>
      </c>
      <c r="E41" s="23">
        <v>120.58087588241291</v>
      </c>
      <c r="F41" s="5">
        <v>-50.580875882412911</v>
      </c>
      <c r="G41" s="5">
        <v>50.580875882412911</v>
      </c>
      <c r="H41" s="5">
        <v>2558.4250050320602</v>
      </c>
      <c r="I41" s="5">
        <v>0.72258394117732727</v>
      </c>
    </row>
    <row r="42" spans="1:9" x14ac:dyDescent="0.25">
      <c r="A42" s="4"/>
      <c r="B42" s="4" t="s">
        <v>21</v>
      </c>
      <c r="C42" s="4">
        <v>41</v>
      </c>
      <c r="D42" s="6">
        <f>Data!C42</f>
        <v>64</v>
      </c>
      <c r="E42" s="23">
        <v>110.46470070593034</v>
      </c>
      <c r="F42" s="5">
        <v>-46.464700705930341</v>
      </c>
      <c r="G42" s="5">
        <v>46.464700705930341</v>
      </c>
      <c r="H42" s="5">
        <v>2158.9684116916833</v>
      </c>
      <c r="I42" s="5">
        <v>0.72601094853016157</v>
      </c>
    </row>
    <row r="43" spans="1:9" x14ac:dyDescent="0.25">
      <c r="A43" s="4"/>
      <c r="B43" s="4" t="s">
        <v>22</v>
      </c>
      <c r="C43" s="4">
        <v>42</v>
      </c>
      <c r="D43" s="6">
        <f>Data!C43</f>
        <v>66</v>
      </c>
      <c r="E43" s="23">
        <v>101.17176056474428</v>
      </c>
      <c r="F43" s="5">
        <v>-35.171760564744275</v>
      </c>
      <c r="G43" s="5">
        <v>35.171760564744275</v>
      </c>
      <c r="H43" s="5">
        <v>1237.0527412237007</v>
      </c>
      <c r="I43" s="5">
        <v>0.53290546310218601</v>
      </c>
    </row>
    <row r="44" spans="1:9" x14ac:dyDescent="0.25">
      <c r="A44" s="4"/>
      <c r="B44" s="4" t="s">
        <v>23</v>
      </c>
      <c r="C44" s="4">
        <v>43</v>
      </c>
      <c r="D44" s="6">
        <f>Data!C44</f>
        <v>215</v>
      </c>
      <c r="E44" s="23">
        <v>94.137408451795423</v>
      </c>
      <c r="F44" s="5">
        <v>120.86259154820458</v>
      </c>
      <c r="G44" s="5">
        <v>120.86259154820458</v>
      </c>
      <c r="H44" s="5">
        <v>14607.766035748133</v>
      </c>
      <c r="I44" s="5">
        <v>0.56215158859630032</v>
      </c>
    </row>
    <row r="45" spans="1:9" x14ac:dyDescent="0.25">
      <c r="A45" s="4"/>
      <c r="B45" s="4" t="s">
        <v>24</v>
      </c>
      <c r="C45" s="4">
        <v>44</v>
      </c>
      <c r="D45" s="6">
        <f>Data!C45</f>
        <v>242</v>
      </c>
      <c r="E45" s="23">
        <v>118.30992676143634</v>
      </c>
      <c r="F45" s="5">
        <v>123.69007323856366</v>
      </c>
      <c r="G45" s="5">
        <v>123.69007323856366</v>
      </c>
      <c r="H45" s="5">
        <v>15299.234217761241</v>
      </c>
      <c r="I45" s="5">
        <v>0.51111600511803168</v>
      </c>
    </row>
    <row r="46" spans="1:9" x14ac:dyDescent="0.25">
      <c r="A46" s="4"/>
      <c r="B46" s="4" t="s">
        <v>25</v>
      </c>
      <c r="C46" s="4">
        <v>45</v>
      </c>
      <c r="D46" s="6">
        <f>Data!C46</f>
        <v>209</v>
      </c>
      <c r="E46" s="23">
        <v>143.04794140914908</v>
      </c>
      <c r="F46" s="5">
        <v>65.952058590850925</v>
      </c>
      <c r="G46" s="5">
        <v>65.952058590850925</v>
      </c>
      <c r="H46" s="5">
        <v>4349.6740323710328</v>
      </c>
      <c r="I46" s="5">
        <v>0.31556008895143983</v>
      </c>
    </row>
    <row r="47" spans="1:9" x14ac:dyDescent="0.25">
      <c r="A47" s="4"/>
      <c r="B47" s="4" t="s">
        <v>26</v>
      </c>
      <c r="C47" s="4">
        <v>46</v>
      </c>
      <c r="D47" s="6">
        <f>Data!C47</f>
        <v>106</v>
      </c>
      <c r="E47" s="23">
        <v>156.23835312731927</v>
      </c>
      <c r="F47" s="5">
        <v>-50.238353127319272</v>
      </c>
      <c r="G47" s="5">
        <v>50.238353127319272</v>
      </c>
      <c r="H47" s="5">
        <v>2523.8921249452301</v>
      </c>
      <c r="I47" s="5">
        <v>0.47394672761621953</v>
      </c>
    </row>
    <row r="48" spans="1:9" x14ac:dyDescent="0.25">
      <c r="A48" s="4"/>
      <c r="B48" s="4" t="s">
        <v>27</v>
      </c>
      <c r="C48" s="4">
        <v>47</v>
      </c>
      <c r="D48" s="6">
        <f>Data!C48</f>
        <v>166</v>
      </c>
      <c r="E48" s="23">
        <v>146.19068250185541</v>
      </c>
      <c r="F48" s="5">
        <v>19.809317498144594</v>
      </c>
      <c r="G48" s="5">
        <v>19.809317498144594</v>
      </c>
      <c r="H48" s="5">
        <v>392.40905974229759</v>
      </c>
      <c r="I48" s="5">
        <v>0.11933323794063008</v>
      </c>
    </row>
    <row r="49" spans="1:9" x14ac:dyDescent="0.25">
      <c r="A49" s="4"/>
      <c r="B49" s="4" t="s">
        <v>28</v>
      </c>
      <c r="C49" s="4">
        <v>48</v>
      </c>
      <c r="D49" s="6">
        <f>Data!C49</f>
        <v>97</v>
      </c>
      <c r="E49" s="23">
        <v>150.15254600148432</v>
      </c>
      <c r="F49" s="5">
        <v>-53.152546001484325</v>
      </c>
      <c r="G49" s="5">
        <v>53.152546001484325</v>
      </c>
      <c r="H49" s="5">
        <v>2825.1931464399072</v>
      </c>
      <c r="I49" s="5">
        <v>0.54796439176787959</v>
      </c>
    </row>
    <row r="50" spans="1:9" x14ac:dyDescent="0.25">
      <c r="A50" s="4" t="s">
        <v>32</v>
      </c>
      <c r="B50" s="4" t="s">
        <v>14</v>
      </c>
      <c r="C50" s="4">
        <v>49</v>
      </c>
      <c r="D50" s="6">
        <f>Data!C50</f>
        <v>96</v>
      </c>
      <c r="E50" s="23">
        <v>139.52203680118745</v>
      </c>
      <c r="F50" s="5">
        <v>-43.522036801187454</v>
      </c>
      <c r="G50" s="5">
        <v>43.522036801187454</v>
      </c>
      <c r="H50" s="5">
        <v>1894.1676873239151</v>
      </c>
      <c r="I50" s="5">
        <v>0.4533545500123693</v>
      </c>
    </row>
    <row r="51" spans="1:9" x14ac:dyDescent="0.25">
      <c r="A51" s="4"/>
      <c r="B51" s="4" t="s">
        <v>18</v>
      </c>
      <c r="C51" s="4">
        <v>50</v>
      </c>
      <c r="D51" s="6">
        <f>Data!C51</f>
        <v>129</v>
      </c>
      <c r="E51" s="23">
        <v>130.81762944094999</v>
      </c>
      <c r="F51" s="5">
        <v>-1.817629440949986</v>
      </c>
      <c r="G51" s="5">
        <v>1.817629440949986</v>
      </c>
      <c r="H51" s="5">
        <v>3.3037767846081589</v>
      </c>
      <c r="I51" s="5">
        <v>1.4090150705038652E-2</v>
      </c>
    </row>
    <row r="52" spans="1:9" x14ac:dyDescent="0.25">
      <c r="A52" s="4"/>
      <c r="B52" s="4" t="s">
        <v>19</v>
      </c>
      <c r="C52" s="4">
        <v>51</v>
      </c>
      <c r="D52" s="6">
        <f>Data!C52</f>
        <v>71</v>
      </c>
      <c r="E52" s="23">
        <v>130.45410355275999</v>
      </c>
      <c r="F52" s="5">
        <v>-59.454103552759989</v>
      </c>
      <c r="G52" s="5">
        <v>59.454103552759989</v>
      </c>
      <c r="H52" s="5">
        <v>3534.790429262308</v>
      </c>
      <c r="I52" s="5">
        <v>0.83738174017971811</v>
      </c>
    </row>
    <row r="53" spans="1:9" x14ac:dyDescent="0.25">
      <c r="A53" s="4"/>
      <c r="B53" s="4" t="s">
        <v>20</v>
      </c>
      <c r="C53" s="4">
        <v>52</v>
      </c>
      <c r="D53" s="6">
        <f>Data!C53</f>
        <v>99</v>
      </c>
      <c r="E53" s="23">
        <v>118.563282842208</v>
      </c>
      <c r="F53" s="5">
        <v>-19.563282842207997</v>
      </c>
      <c r="G53" s="5">
        <v>19.563282842207997</v>
      </c>
      <c r="H53" s="5">
        <v>382.72203556422977</v>
      </c>
      <c r="I53" s="5">
        <v>0.19760891759806057</v>
      </c>
    </row>
    <row r="54" spans="1:9" x14ac:dyDescent="0.25">
      <c r="A54" s="4"/>
      <c r="B54" s="4" t="s">
        <v>21</v>
      </c>
      <c r="C54" s="4">
        <v>53</v>
      </c>
      <c r="D54" s="6">
        <f>Data!C54</f>
        <v>98</v>
      </c>
      <c r="E54" s="23">
        <v>114.65062627376641</v>
      </c>
      <c r="F54" s="5">
        <v>-16.650626273766406</v>
      </c>
      <c r="G54" s="5">
        <v>16.650626273766406</v>
      </c>
      <c r="H54" s="5">
        <v>277.24335530864016</v>
      </c>
      <c r="I54" s="5">
        <v>0.16990434973231028</v>
      </c>
    </row>
    <row r="55" spans="1:9" x14ac:dyDescent="0.25">
      <c r="A55" s="4"/>
      <c r="B55" s="4" t="s">
        <v>22</v>
      </c>
      <c r="C55" s="4">
        <v>54</v>
      </c>
      <c r="D55" s="6">
        <f>Data!C55</f>
        <v>139</v>
      </c>
      <c r="E55" s="23">
        <v>111.32050101901314</v>
      </c>
      <c r="F55" s="5">
        <v>27.679498980986864</v>
      </c>
      <c r="G55" s="5">
        <v>27.679498980986864</v>
      </c>
      <c r="H55" s="5">
        <v>766.15466383845285</v>
      </c>
      <c r="I55" s="5">
        <v>0.1991330861941501</v>
      </c>
    </row>
    <row r="56" spans="1:9" x14ac:dyDescent="0.25">
      <c r="A56" s="4"/>
      <c r="B56" s="4" t="s">
        <v>23</v>
      </c>
      <c r="C56" s="4">
        <v>55</v>
      </c>
      <c r="D56" s="6">
        <f>Data!C56</f>
        <v>90</v>
      </c>
      <c r="E56" s="23">
        <v>116.85640081521051</v>
      </c>
      <c r="F56" s="5">
        <v>-26.856400815210506</v>
      </c>
      <c r="G56" s="5">
        <v>26.856400815210506</v>
      </c>
      <c r="H56" s="5">
        <v>721.26626474723957</v>
      </c>
      <c r="I56" s="5">
        <v>0.29840445350233896</v>
      </c>
    </row>
    <row r="57" spans="1:9" x14ac:dyDescent="0.25">
      <c r="A57" s="4"/>
      <c r="B57" s="4" t="s">
        <v>24</v>
      </c>
      <c r="C57" s="4">
        <v>56</v>
      </c>
      <c r="D57" s="6">
        <f>Data!C57</f>
        <v>219</v>
      </c>
      <c r="E57" s="23">
        <v>111.4851206521684</v>
      </c>
      <c r="F57" s="5">
        <v>107.5148793478316</v>
      </c>
      <c r="G57" s="5">
        <v>107.5148793478316</v>
      </c>
      <c r="H57" s="5">
        <v>11559.449281178784</v>
      </c>
      <c r="I57" s="5">
        <v>0.49093552213621733</v>
      </c>
    </row>
    <row r="58" spans="1:9" x14ac:dyDescent="0.25">
      <c r="A58" s="4"/>
      <c r="B58" s="4" t="s">
        <v>25</v>
      </c>
      <c r="C58" s="4">
        <v>57</v>
      </c>
      <c r="D58" s="6">
        <f>Data!C58</f>
        <v>206</v>
      </c>
      <c r="E58" s="23">
        <v>132.98809652173475</v>
      </c>
      <c r="F58" s="5">
        <v>73.011903478265253</v>
      </c>
      <c r="G58" s="5">
        <v>73.011903478265253</v>
      </c>
      <c r="H58" s="5">
        <v>5330.7380495195221</v>
      </c>
      <c r="I58" s="5">
        <v>0.35442671591390901</v>
      </c>
    </row>
    <row r="59" spans="1:9" x14ac:dyDescent="0.25">
      <c r="A59" s="4"/>
      <c r="B59" s="4" t="s">
        <v>26</v>
      </c>
      <c r="C59" s="4">
        <v>58</v>
      </c>
      <c r="D59" s="6">
        <f>Data!C59</f>
        <v>186</v>
      </c>
      <c r="E59" s="23">
        <v>147.59047721738779</v>
      </c>
      <c r="F59" s="5">
        <v>38.409522782612214</v>
      </c>
      <c r="G59" s="5">
        <v>38.409522782612214</v>
      </c>
      <c r="H59" s="5">
        <v>1475.2914403880068</v>
      </c>
      <c r="I59" s="5">
        <v>0.20650281065920545</v>
      </c>
    </row>
    <row r="60" spans="1:9" x14ac:dyDescent="0.25">
      <c r="A60" s="7"/>
      <c r="B60" s="7" t="s">
        <v>27</v>
      </c>
      <c r="C60" s="7">
        <v>59</v>
      </c>
      <c r="D60" s="8">
        <f>Data!C60</f>
        <v>140</v>
      </c>
      <c r="E60" s="23">
        <v>155.27238177391024</v>
      </c>
      <c r="F60" s="9">
        <v>-15.27238177391024</v>
      </c>
      <c r="G60" s="9">
        <v>15.27238177391024</v>
      </c>
      <c r="H60" s="9">
        <v>233.24564504806568</v>
      </c>
      <c r="I60" s="9">
        <v>0.10908844124221601</v>
      </c>
    </row>
    <row r="61" spans="1:9" x14ac:dyDescent="0.25">
      <c r="A61" s="4"/>
      <c r="B61" s="4" t="s">
        <v>28</v>
      </c>
      <c r="C61" s="4">
        <v>60</v>
      </c>
      <c r="D61" s="4">
        <f>Data!C61</f>
        <v>61</v>
      </c>
      <c r="E61" s="23">
        <v>152.21790541912821</v>
      </c>
      <c r="F61" s="5">
        <v>-91.217905419128215</v>
      </c>
      <c r="G61" s="5">
        <v>91.217905419128215</v>
      </c>
      <c r="H61" s="5">
        <v>8320.7062690530202</v>
      </c>
      <c r="I61" s="5">
        <v>1.4953754986742331</v>
      </c>
    </row>
    <row r="62" spans="1:9" x14ac:dyDescent="0.25">
      <c r="E62" s="24"/>
    </row>
    <row r="63" spans="1:9" x14ac:dyDescent="0.25">
      <c r="E63" s="24"/>
    </row>
    <row r="64" spans="1:9" x14ac:dyDescent="0.25">
      <c r="E64" s="24"/>
    </row>
    <row r="65" spans="5:5" x14ac:dyDescent="0.25">
      <c r="E65" s="24"/>
    </row>
    <row r="66" spans="5:5" x14ac:dyDescent="0.25">
      <c r="E66" s="24"/>
    </row>
    <row r="67" spans="5:5" x14ac:dyDescent="0.25">
      <c r="E67" s="24"/>
    </row>
    <row r="68" spans="5:5" x14ac:dyDescent="0.25">
      <c r="E68" s="24"/>
    </row>
    <row r="69" spans="5:5" x14ac:dyDescent="0.25">
      <c r="E69" s="24"/>
    </row>
    <row r="70" spans="5:5" x14ac:dyDescent="0.25">
      <c r="E70" s="24"/>
    </row>
  </sheetData>
  <sheetProtection algorithmName="SHA-512" hashValue="oFJv6+E7jHJbqIhBTfKstW0pTJPKFWkHCrgwQUEAdqzS/cHm5norTIPuk7h77HXvaT8DuP0Qg/IWoR5vup6EKg==" saltValue="rd74rM1r4zQN9jPpJ1VP+g==" spinCount="100000" sheet="1" objects="1" scenarios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3670C-84A3-4008-848B-84FD28C90CDE}">
  <sheetPr codeName="Sheet5"/>
  <dimension ref="A1"/>
  <sheetViews>
    <sheetView workbookViewId="0">
      <selection activeCell="N16" sqref="N16"/>
    </sheetView>
  </sheetViews>
  <sheetFormatPr defaultRowHeight="15" x14ac:dyDescent="0.25"/>
  <sheetData/>
  <sheetProtection algorithmName="SHA-512" hashValue="0Rsv5tQX6tyl4NaT3Zqf6l/Gw26ws15arUQh1fgxdcE3B3wPAVsc4HkBD3PMV2QlurU1efx4CaWd7dSK3+zctQ==" saltValue="LMDCzRefWNjC2/uiWMYyDQ==" spinCount="100000" sheet="1" objects="1" scenarios="1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97777-3885-4E11-AC48-85EE129013C8}">
  <sheetPr codeName="Sheet25"/>
  <dimension ref="A1"/>
  <sheetViews>
    <sheetView workbookViewId="0">
      <selection activeCell="O12" sqref="O12"/>
    </sheetView>
  </sheetViews>
  <sheetFormatPr defaultRowHeight="15" x14ac:dyDescent="0.25"/>
  <sheetData/>
  <sheetProtection algorithmName="SHA-512" hashValue="kzGMxFswbUxogtbpO4cFT3yyRv5IH+yEZeudmvfpd9LlwB87YQQ1emiDhPMU4YdL+TsMpxWSDaqOd+wwva74uA==" saltValue="jmDfWMKP5d+IozHT7mQbZA==" spinCount="100000" sheet="1" objects="1" scenarios="1"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CA7BA-F86D-464F-95BF-6949307AB82A}">
  <sheetPr codeName="Sheet26"/>
  <dimension ref="A1"/>
  <sheetViews>
    <sheetView workbookViewId="0">
      <selection activeCell="O10" sqref="O10"/>
    </sheetView>
  </sheetViews>
  <sheetFormatPr defaultRowHeight="15" x14ac:dyDescent="0.25"/>
  <sheetData/>
  <sheetProtection algorithmName="SHA-512" hashValue="KTdV/aosM29TWc78r5lPiJaq7OHkhrKWezzuE/8Z5TtnAJs5RCfqm0Q7M8nVrzo90/fN3LByDavc9fhlnHcDhw==" saltValue="PYZGfi7mOfs3v9dI5E1T2w==" spinCount="100000" sheet="1" objects="1" scenarios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C663E-A1F8-4B79-8B7B-8066086DA911}">
  <sheetPr codeName="Sheet24"/>
  <dimension ref="A1:G4"/>
  <sheetViews>
    <sheetView workbookViewId="0">
      <selection activeCell="E2" sqref="E2"/>
    </sheetView>
  </sheetViews>
  <sheetFormatPr defaultRowHeight="15" x14ac:dyDescent="0.25"/>
  <cols>
    <col min="1" max="1" width="17.42578125" bestFit="1" customWidth="1"/>
    <col min="2" max="3" width="22.28515625" bestFit="1" customWidth="1"/>
    <col min="4" max="4" width="23.28515625" bestFit="1" customWidth="1"/>
    <col min="5" max="5" width="22" bestFit="1" customWidth="1"/>
    <col min="6" max="6" width="19.28515625" bestFit="1" customWidth="1"/>
    <col min="7" max="7" width="24.5703125" bestFit="1" customWidth="1"/>
  </cols>
  <sheetData>
    <row r="1" spans="1:7" x14ac:dyDescent="0.25">
      <c r="A1" s="1" t="s">
        <v>38</v>
      </c>
      <c r="B1" s="1" t="s">
        <v>3</v>
      </c>
      <c r="C1" s="1" t="s">
        <v>11</v>
      </c>
      <c r="D1" s="1" t="s">
        <v>12</v>
      </c>
      <c r="E1" s="1" t="s">
        <v>4</v>
      </c>
      <c r="F1" s="1" t="s">
        <v>39</v>
      </c>
      <c r="G1" s="1" t="s">
        <v>40</v>
      </c>
    </row>
    <row r="2" spans="1:7" x14ac:dyDescent="0.25">
      <c r="A2" s="1" t="s">
        <v>41</v>
      </c>
      <c r="B2" s="5">
        <v>5414.6920099999998</v>
      </c>
      <c r="C2" s="5">
        <v>5418.8667699999996</v>
      </c>
      <c r="D2" s="5">
        <v>4111.1728899999998</v>
      </c>
      <c r="E2" s="21">
        <v>5070.6426199999996</v>
      </c>
      <c r="F2" s="5">
        <v>15657.26181</v>
      </c>
      <c r="G2" s="5">
        <v>17894.052240000001</v>
      </c>
    </row>
    <row r="3" spans="1:7" x14ac:dyDescent="0.25">
      <c r="A3" s="1" t="s">
        <v>42</v>
      </c>
      <c r="B3" s="5">
        <v>0.52222000000000002</v>
      </c>
      <c r="C3" s="5">
        <v>0.51663000000000003</v>
      </c>
      <c r="D3" s="5">
        <v>0.47577999999999998</v>
      </c>
      <c r="E3" s="21">
        <v>0.46722000000000002</v>
      </c>
      <c r="F3" s="5">
        <v>0.98909999999999998</v>
      </c>
      <c r="G3" s="5">
        <v>0.87382000000000004</v>
      </c>
    </row>
    <row r="4" spans="1:7" x14ac:dyDescent="0.25">
      <c r="A4" s="1" t="s">
        <v>43</v>
      </c>
      <c r="B4" s="5">
        <v>56.649120000000003</v>
      </c>
      <c r="C4" s="5">
        <v>56.743830000000003</v>
      </c>
      <c r="D4" s="5">
        <v>49.696179999999998</v>
      </c>
      <c r="E4" s="21">
        <v>51.889650000000003</v>
      </c>
      <c r="F4" s="5">
        <v>89.651430000000005</v>
      </c>
      <c r="G4" s="5">
        <v>102.48071</v>
      </c>
    </row>
  </sheetData>
  <sheetProtection algorithmName="SHA-512" hashValue="eH+iE6x/ZtMo51+Pogp3G69O/fgUsKcPVkGXVTwSoRA13+bzauDKTnBSISt8ApB6zVKDGJjK3c0geUzJGUc3lw==" saltValue="4R1mCLz3O/34PyCgDpnkw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Data</vt:lpstr>
      <vt:lpstr>Historical_Data</vt:lpstr>
      <vt:lpstr>Data_Sheet</vt:lpstr>
      <vt:lpstr>ERROR_MA</vt:lpstr>
      <vt:lpstr>START</vt:lpstr>
      <vt:lpstr>MA_Chart</vt:lpstr>
      <vt:lpstr>ALL_METHOD</vt:lpstr>
      <vt:lpstr>12MA_vs_ES</vt:lpstr>
      <vt:lpstr>12MA_vs_ES_vs_HT</vt:lpstr>
      <vt:lpstr>12MA_vs_ES_vs_WS</vt:lpstr>
      <vt:lpstr>6MA</vt:lpstr>
      <vt:lpstr>3MA</vt:lpstr>
      <vt:lpstr>12MA_vs_HOLT'S</vt:lpstr>
      <vt:lpstr>12MA_vs_WINTER'S</vt:lpstr>
      <vt:lpstr>ES_vs_HT_vs_WS</vt:lpstr>
      <vt:lpstr>12MA_vs_ES_vs_HT_vs_WS</vt:lpstr>
      <vt:lpstr>3MA_vs_ES_vs_HT_vs_WS</vt:lpstr>
      <vt:lpstr>MA_vs_ES_vs_HT_vs_WS</vt:lpstr>
      <vt:lpstr>6MA_vs_ES_vs_HT_vs_WS</vt:lpstr>
      <vt:lpstr>ES_vs_HOLT'S</vt:lpstr>
      <vt:lpstr>ES_vs_WINTER'S</vt:lpstr>
      <vt:lpstr>12MA</vt:lpstr>
      <vt:lpstr>ES</vt:lpstr>
      <vt:lpstr>HT</vt:lpstr>
      <vt:lpstr>WS</vt:lpstr>
      <vt:lpstr>WS_ERROR</vt:lpstr>
      <vt:lpstr>HT_ERROR</vt:lpstr>
      <vt:lpstr>3MA_ERROR</vt:lpstr>
      <vt:lpstr>12MA_ERROR</vt:lpstr>
      <vt:lpstr>6MA_ERROR</vt:lpstr>
      <vt:lpstr>ES_ERROR</vt:lpstr>
      <vt:lpstr>MSE</vt:lpstr>
      <vt:lpstr>MAPE</vt:lpstr>
      <vt:lpstr>MAD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seyyad Najwan</dc:creator>
  <cp:lastModifiedBy>seyyad Najwan</cp:lastModifiedBy>
  <dcterms:created xsi:type="dcterms:W3CDTF">2023-12-01T05:04:34Z</dcterms:created>
  <dcterms:modified xsi:type="dcterms:W3CDTF">2024-03-08T11:27:52Z</dcterms:modified>
</cp:coreProperties>
</file>